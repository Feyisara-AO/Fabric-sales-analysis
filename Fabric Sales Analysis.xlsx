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8422459df76755/Documents/Data Analysis Tract/AI generated Practice Sets/"/>
    </mc:Choice>
  </mc:AlternateContent>
  <xr:revisionPtr revIDLastSave="13" documentId="8_{E0A7BC0D-C6E7-4D5F-8304-B4346AEB62B7}" xr6:coauthVersionLast="47" xr6:coauthVersionMax="47" xr10:uidLastSave="{E5996EA2-F4C4-4645-BC88-11D21B21B6EE}"/>
  <bookViews>
    <workbookView xWindow="-120" yWindow="-120" windowWidth="20730" windowHeight="11040" xr2:uid="{00000000-000D-0000-FFFF-FFFF00000000}"/>
  </bookViews>
  <sheets>
    <sheet name="Sales_transactions" sheetId="1" r:id="rId1"/>
    <sheet name="Product Category" sheetId="3" r:id="rId2"/>
    <sheet name="Pivot Tables" sheetId="7" r:id="rId3"/>
    <sheet name="Dashboard" sheetId="8" r:id="rId4"/>
  </sheets>
  <calcPr calcId="18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7" l="1"/>
  <c r="E15" i="7"/>
  <c r="E16" i="7"/>
  <c r="E17" i="7"/>
  <c r="E18" i="7"/>
  <c r="E13" i="7"/>
  <c r="D14" i="7"/>
  <c r="D15" i="7"/>
  <c r="D16" i="7"/>
  <c r="D17" i="7"/>
  <c r="D18" i="7"/>
  <c r="D13" i="7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W2" i="1"/>
  <c r="T2" i="1"/>
  <c r="U2" i="1" s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</calcChain>
</file>

<file path=xl/sharedStrings.xml><?xml version="1.0" encoding="utf-8"?>
<sst xmlns="http://schemas.openxmlformats.org/spreadsheetml/2006/main" count="1998" uniqueCount="376">
  <si>
    <t>Transaction_ID</t>
  </si>
  <si>
    <t>Date</t>
  </si>
  <si>
    <t>Customer_ID</t>
  </si>
  <si>
    <t>Product_Name</t>
  </si>
  <si>
    <t>Region</t>
  </si>
  <si>
    <t>Sales_Rep</t>
  </si>
  <si>
    <t>Quantity</t>
  </si>
  <si>
    <t>Payment_Method</t>
  </si>
  <si>
    <t>T10000</t>
  </si>
  <si>
    <t>C1008</t>
  </si>
  <si>
    <t>Ankara Classic</t>
  </si>
  <si>
    <t>Lagos</t>
  </si>
  <si>
    <t>tunde</t>
  </si>
  <si>
    <t>Transfer</t>
  </si>
  <si>
    <t>T10001</t>
  </si>
  <si>
    <t>C1002</t>
  </si>
  <si>
    <t>David</t>
  </si>
  <si>
    <t>T10002</t>
  </si>
  <si>
    <t>C1035</t>
  </si>
  <si>
    <t>Abuja</t>
  </si>
  <si>
    <t>Amaka</t>
  </si>
  <si>
    <t>Cash</t>
  </si>
  <si>
    <t>T10003</t>
  </si>
  <si>
    <t>C1028</t>
  </si>
  <si>
    <t>T10004</t>
  </si>
  <si>
    <t>C1017</t>
  </si>
  <si>
    <t>Lace Premium</t>
  </si>
  <si>
    <t>Tunde</t>
  </si>
  <si>
    <t>T10005</t>
  </si>
  <si>
    <t>C1006</t>
  </si>
  <si>
    <t>Adire Indigo</t>
  </si>
  <si>
    <t>Femi</t>
  </si>
  <si>
    <t>T10006</t>
  </si>
  <si>
    <t>C1034</t>
  </si>
  <si>
    <t>Kano</t>
  </si>
  <si>
    <t>T10007</t>
  </si>
  <si>
    <t>C1036</t>
  </si>
  <si>
    <t>Silk Royal</t>
  </si>
  <si>
    <t>T10008</t>
  </si>
  <si>
    <t>C1005</t>
  </si>
  <si>
    <t>T10009</t>
  </si>
  <si>
    <t>C1010</t>
  </si>
  <si>
    <t>Zainab</t>
  </si>
  <si>
    <t>T10010</t>
  </si>
  <si>
    <t>C1040</t>
  </si>
  <si>
    <t>T10011</t>
  </si>
  <si>
    <t>Damask Gold</t>
  </si>
  <si>
    <t>T10012</t>
  </si>
  <si>
    <t>C1014</t>
  </si>
  <si>
    <t>Ibadan</t>
  </si>
  <si>
    <t>T10013</t>
  </si>
  <si>
    <t>C1058</t>
  </si>
  <si>
    <t>T10014</t>
  </si>
  <si>
    <t>C1056</t>
  </si>
  <si>
    <t>T10015</t>
  </si>
  <si>
    <t>T10016</t>
  </si>
  <si>
    <t>T10017</t>
  </si>
  <si>
    <t>Port Harcourt</t>
  </si>
  <si>
    <t>T10018</t>
  </si>
  <si>
    <t>C1024</t>
  </si>
  <si>
    <t>T10019</t>
  </si>
  <si>
    <t>C1043</t>
  </si>
  <si>
    <t>T10020</t>
  </si>
  <si>
    <t>C1027</t>
  </si>
  <si>
    <t>T10021</t>
  </si>
  <si>
    <t>C1048</t>
  </si>
  <si>
    <t>T10022</t>
  </si>
  <si>
    <t>C1012</t>
  </si>
  <si>
    <t>T10023</t>
  </si>
  <si>
    <t>C1038</t>
  </si>
  <si>
    <t>T10024</t>
  </si>
  <si>
    <t>C1003</t>
  </si>
  <si>
    <t>T10025</t>
  </si>
  <si>
    <t>T10026</t>
  </si>
  <si>
    <t>T10027</t>
  </si>
  <si>
    <t>T10028</t>
  </si>
  <si>
    <t>C1057</t>
  </si>
  <si>
    <t>T10029</t>
  </si>
  <si>
    <t>C1001</t>
  </si>
  <si>
    <t>T10030</t>
  </si>
  <si>
    <t>C1045</t>
  </si>
  <si>
    <t>T10031</t>
  </si>
  <si>
    <t>C1032</t>
  </si>
  <si>
    <t>T10032</t>
  </si>
  <si>
    <t>C1046</t>
  </si>
  <si>
    <t>T10033</t>
  </si>
  <si>
    <t>T10034</t>
  </si>
  <si>
    <t>C1055</t>
  </si>
  <si>
    <t>T10035</t>
  </si>
  <si>
    <t>T10036</t>
  </si>
  <si>
    <t>T10037</t>
  </si>
  <si>
    <t>T10038</t>
  </si>
  <si>
    <t>C1053</t>
  </si>
  <si>
    <t>T10039</t>
  </si>
  <si>
    <t>C1030</t>
  </si>
  <si>
    <t>T10040</t>
  </si>
  <si>
    <t>T10041</t>
  </si>
  <si>
    <t>C1042</t>
  </si>
  <si>
    <t>T10042</t>
  </si>
  <si>
    <t>C1047</t>
  </si>
  <si>
    <t>T10043</t>
  </si>
  <si>
    <t>T10044</t>
  </si>
  <si>
    <t>C1054</t>
  </si>
  <si>
    <t>T10045</t>
  </si>
  <si>
    <t>C1007</t>
  </si>
  <si>
    <t>T10046</t>
  </si>
  <si>
    <t>C1026</t>
  </si>
  <si>
    <t>T10047</t>
  </si>
  <si>
    <t>T10048</t>
  </si>
  <si>
    <t>C1020</t>
  </si>
  <si>
    <t>T10049</t>
  </si>
  <si>
    <t>T10050</t>
  </si>
  <si>
    <t>C1023</t>
  </si>
  <si>
    <t>T10051</t>
  </si>
  <si>
    <t>C1051</t>
  </si>
  <si>
    <t>T10052</t>
  </si>
  <si>
    <t>T10053</t>
  </si>
  <si>
    <t>T10054</t>
  </si>
  <si>
    <t>T10055</t>
  </si>
  <si>
    <t>T10056</t>
  </si>
  <si>
    <t>T10057</t>
  </si>
  <si>
    <t>C1004</t>
  </si>
  <si>
    <t>T10058</t>
  </si>
  <si>
    <t>C1009</t>
  </si>
  <si>
    <t>T10059</t>
  </si>
  <si>
    <t>C1013</t>
  </si>
  <si>
    <t>T10060</t>
  </si>
  <si>
    <t>C1039</t>
  </si>
  <si>
    <t>T10061</t>
  </si>
  <si>
    <t>C1011</t>
  </si>
  <si>
    <t>T10062</t>
  </si>
  <si>
    <t>T10063</t>
  </si>
  <si>
    <t>C1052</t>
  </si>
  <si>
    <t>T10064</t>
  </si>
  <si>
    <t>C1025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</si>
  <si>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</si>
  <si>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</si>
  <si>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</si>
  <si>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</si>
  <si>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</si>
  <si>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</si>
  <si>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</si>
  <si>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</si>
  <si>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</si>
  <si>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</si>
  <si>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</si>
  <si>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</si>
  <si>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</si>
  <si>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</si>
  <si>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</si>
  <si>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C1031</t>
  </si>
  <si>
    <t>T10080</t>
  </si>
  <si>
    <t>C1049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</si>
  <si>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</si>
  <si>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</si>
  <si>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</si>
  <si>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</si>
  <si>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</si>
  <si>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</si>
  <si>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</si>
  <si>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</si>
  <si>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</si>
  <si>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</si>
  <si>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</si>
  <si>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</si>
  <si>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</si>
  <si>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</si>
  <si>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C1041</t>
  </si>
  <si>
    <t>T10095</t>
  </si>
  <si>
    <t>T10096</t>
  </si>
  <si>
    <t>T10097</t>
  </si>
  <si>
    <t>T10098</t>
  </si>
  <si>
    <t>C1015</t>
  </si>
  <si>
    <t>T10099</t>
  </si>
  <si>
    <t>T10100</t>
  </si>
  <si>
    <t>T10101</t>
  </si>
  <si>
    <t>T10102</t>
  </si>
  <si>
    <t>T10103</t>
  </si>
  <si>
    <t>C1044</t>
  </si>
  <si>
    <t>T10104</t>
  </si>
  <si>
    <t>C1022</t>
  </si>
  <si>
    <t>T10105</t>
  </si>
  <si>
    <t>C1000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</si>
  <si>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</si>
  <si>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</si>
  <si>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</si>
  <si>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</si>
  <si>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</si>
  <si>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</si>
  <si>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</si>
  <si>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</si>
  <si>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</si>
  <si>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</si>
  <si>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</si>
  <si>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C1016</t>
  </si>
  <si>
    <t>T10117</t>
  </si>
  <si>
    <t>T10118</t>
  </si>
  <si>
    <t>T10119</t>
  </si>
  <si>
    <t>C1018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</si>
  <si>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</si>
  <si>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</si>
  <si>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</si>
  <si>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</si>
  <si>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</si>
  <si>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</si>
  <si>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</si>
  <si>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</si>
  <si>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</si>
  <si>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</si>
  <si>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</si>
  <si>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</si>
  <si>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C1059</t>
  </si>
  <si>
    <t>T10132</t>
  </si>
  <si>
    <t>T10133</t>
  </si>
  <si>
    <t>T10134</t>
  </si>
  <si>
    <t>T10135</t>
  </si>
  <si>
    <t>T10136</t>
  </si>
  <si>
    <t>T10137</t>
  </si>
  <si>
    <t>C1037</t>
  </si>
  <si>
    <t>T10138</t>
  </si>
  <si>
    <t>T10139</t>
  </si>
  <si>
    <t>T10140</t>
  </si>
  <si>
    <t>T10141</t>
  </si>
  <si>
    <t>T10142</t>
  </si>
  <si>
    <t>T10143</t>
  </si>
  <si>
    <t>C1029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</si>
  <si>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</si>
  <si>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</si>
  <si>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</si>
  <si>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</si>
  <si>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</si>
  <si>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</si>
  <si>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</si>
  <si>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</si>
  <si>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</si>
  <si>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</si>
  <si>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</si>
  <si>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</si>
  <si>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</si>
  <si>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</si>
  <si>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</si>
  <si>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</si>
  <si>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</si>
  <si>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</si>
  <si>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</si>
  <si>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</si>
  <si>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</si>
  <si>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</si>
  <si>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</si>
  <si>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</si>
  <si>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</si>
  <si>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</si>
  <si>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</si>
  <si>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</si>
  <si>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</si>
  <si>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</si>
  <si>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</si>
  <si>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</si>
  <si>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</si>
  <si>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</si>
  <si>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</si>
  <si>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</si>
  <si>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</si>
  <si>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</si>
  <si>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</si>
  <si>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</si>
  <si>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</si>
  <si>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</si>
  <si>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</si>
  <si>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</si>
  <si>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</si>
  <si>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</si>
  <si>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</si>
  <si>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</si>
  <si>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C1050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</si>
  <si>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</si>
  <si>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</si>
  <si>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</si>
  <si>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</si>
  <si>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</si>
  <si>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</si>
  <si>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</si>
  <si>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</si>
  <si>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</si>
  <si>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</si>
  <si>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</si>
  <si>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</si>
  <si>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</si>
  <si>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</si>
  <si>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</si>
  <si>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</si>
  <si>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</si>
  <si>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</si>
  <si>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</si>
  <si>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</si>
  <si>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</si>
  <si>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</si>
  <si>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</si>
  <si>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</si>
  <si>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</si>
  <si>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</si>
  <si>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</si>
  <si>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</si>
  <si>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</si>
  <si>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</si>
  <si>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</si>
  <si>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</si>
  <si>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</si>
  <si>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</si>
  <si>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</si>
  <si>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</si>
  <si>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</si>
  <si>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</si>
  <si>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</si>
  <si>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</si>
  <si>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</si>
  <si>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</si>
  <si>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</si>
  <si>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</si>
  <si>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</si>
  <si>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</si>
  <si>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</si>
  <si>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</si>
  <si>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C1033</t>
  </si>
  <si>
    <t>T10240</t>
  </si>
  <si>
    <t>T10241</t>
  </si>
  <si>
    <t>C1021</t>
  </si>
  <si>
    <t>T10242</t>
  </si>
  <si>
    <t>T10243</t>
  </si>
  <si>
    <t>C1019</t>
  </si>
  <si>
    <t>T10244</t>
  </si>
  <si>
    <t>T10245</t>
  </si>
  <si>
    <t>T10246</t>
  </si>
  <si>
    <t>T10247</t>
  </si>
  <si>
    <t>T10248</t>
  </si>
  <si>
    <t>T10249</t>
  </si>
  <si>
    <t>Product Name</t>
  </si>
  <si>
    <t>NA</t>
  </si>
  <si>
    <t xml:space="preserve">Standard Price </t>
  </si>
  <si>
    <t>Unit Price</t>
  </si>
  <si>
    <t>Price Diference</t>
  </si>
  <si>
    <t>Price Difference</t>
  </si>
  <si>
    <t>Standard Unit Price</t>
  </si>
  <si>
    <t>Transactional Unit Price</t>
  </si>
  <si>
    <t>Revenue</t>
  </si>
  <si>
    <t>Grand Total</t>
  </si>
  <si>
    <t>Sum of Revenue</t>
  </si>
  <si>
    <t>Pricing Category</t>
  </si>
  <si>
    <t>Correct</t>
  </si>
  <si>
    <t>Missing</t>
  </si>
  <si>
    <t>Overpriced</t>
  </si>
  <si>
    <t>Underpriced</t>
  </si>
  <si>
    <t>Count of Pricing Category</t>
  </si>
  <si>
    <t>Expected Revenue</t>
  </si>
  <si>
    <t>Sum of Expected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</si>
  <si>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</si>
  <si>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</si>
  <si>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</si>
  <si>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</si>
  <si>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</si>
  <si>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</si>
  <si>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</si>
  <si>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</si>
  <si>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</si>
  <si>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</si>
  <si>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</si>
  <si>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</si>
  <si>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Rep</t>
  </si>
  <si>
    <t>Column Labels</t>
  </si>
  <si>
    <t>Pos</t>
  </si>
  <si>
    <t xml:space="preserve"> Quantity</t>
  </si>
  <si>
    <t>Revenue Difference</t>
  </si>
  <si>
    <t>Yellow</t>
  </si>
  <si>
    <t>Red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</si>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</sst>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Font="1"/>
    <xf numFmtId="0" fontId="19" fillId="33" borderId="0" xfId="0" applyFont="1" applyFill="1" applyAlignment="1">
      <alignment horizontal="left"/>
    </xf>
    <xf numFmtId="0" fontId="19" fillId="33" borderId="0" xfId="0" applyFont="1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[Fabric Sales Analysis.xlsx]Pivot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Lace Premium</c:v>
                </c:pt>
                <c:pt idx="1">
                  <c:v>Ankara Classic</c:v>
                </c:pt>
                <c:pt idx="2">
                  <c:v>Damask Gold</c:v>
                </c:pt>
                <c:pt idx="3">
                  <c:v>Silk Royal</c:v>
                </c:pt>
                <c:pt idx="4">
                  <c:v>Adire Indigo</c:v>
                </c:pt>
              </c:strCache>
            </c:strRef>
          </c:cat>
          <c:val>
            <c:numRef>
              <c:f>'Pivot Tables'!$B$4:$B$9</c:f>
              <c:numCache>
                <c:formatCode>_(* #,##0.00_);_(* \(#,##0.00\);_(* "-"??_);_(@_)</c:formatCode>
                <c:ptCount val="5"/>
                <c:pt idx="0">
                  <c:v>1528900</c:v>
                </c:pt>
                <c:pt idx="1">
                  <c:v>1293100</c:v>
                </c:pt>
                <c:pt idx="2">
                  <c:v>735800</c:v>
                </c:pt>
                <c:pt idx="3">
                  <c:v>706300</c:v>
                </c:pt>
                <c:pt idx="4">
                  <c:v>694500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2-45DE-BBAE-5E939B061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150815"/>
        <c:axId val="275152479"/>
      </c:barChart>
      <c:catAx>
        <c:axId val="275150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52479"/>
        <c:crosses val="autoZero"/>
        <c:auto val="1"/>
        <c:lblAlgn val="ctr"/>
        <c:lblOffset val="100"/>
        <c:noMultiLvlLbl val="0"/>
      </c:catAx>
      <c:valAx>
        <c:axId val="27515247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27515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[Fabric Sales Analysis.xlsx]Pivot Tables!PivotTable10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Tables'!$L$12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Tables'!$K$13:$K$25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Tables'!$L$13:$L$25</c:f>
              <c:numCache>
                <c:formatCode>_(* #,##0.00_);_(* \(#,##0.00\);_(* "-"??_);_(@_)</c:formatCode>
                <c:ptCount val="12"/>
                <c:pt idx="0">
                  <c:v>414200</c:v>
                </c:pt>
                <c:pt idx="1">
                  <c:v>308700</c:v>
                </c:pt>
                <c:pt idx="2">
                  <c:v>377700</c:v>
                </c:pt>
                <c:pt idx="3">
                  <c:v>376800</c:v>
                </c:pt>
                <c:pt idx="4">
                  <c:v>686900</c:v>
                </c:pt>
                <c:pt idx="5">
                  <c:v>320900</c:v>
                </c:pt>
                <c:pt idx="6">
                  <c:v>262500</c:v>
                </c:pt>
                <c:pt idx="7">
                  <c:v>486800</c:v>
                </c:pt>
                <c:pt idx="8">
                  <c:v>426500</c:v>
                </c:pt>
                <c:pt idx="9">
                  <c:v>597000</c:v>
                </c:pt>
                <c:pt idx="10">
                  <c:v>364900</c:v>
                </c:pt>
                <c:pt idx="11">
                  <c:v>335700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5-4AFF-81D9-C1AC7B7DF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72655"/>
        <c:axId val="279174735"/>
      </c:lineChart>
      <c:catAx>
        <c:axId val="2791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74735"/>
        <c:crosses val="autoZero"/>
        <c:auto val="1"/>
        <c:lblAlgn val="ctr"/>
        <c:lblOffset val="100"/>
        <c:noMultiLvlLbl val="0"/>
      </c:catAx>
      <c:valAx>
        <c:axId val="279174735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2791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[Fabric Sales Analysis.xlsx]Pivot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Tables'!$D$4:$D$9</c:f>
              <c:strCache>
                <c:ptCount val="5"/>
                <c:pt idx="0">
                  <c:v>Lagos</c:v>
                </c:pt>
                <c:pt idx="1">
                  <c:v>Abuja</c:v>
                </c:pt>
                <c:pt idx="2">
                  <c:v>Port Harcourt</c:v>
                </c:pt>
                <c:pt idx="3">
                  <c:v>Kano</c:v>
                </c:pt>
                <c:pt idx="4">
                  <c:v>Ibadan</c:v>
                </c:pt>
              </c:strCache>
            </c:strRef>
          </c:cat>
          <c:val>
            <c:numRef>
              <c:f>'Pivot Tables'!$E$4:$E$9</c:f>
              <c:numCache>
                <c:formatCode>_(* #,##0.00_);_(* \(#,##0.00\);_(* "-"??_);_(@_)</c:formatCode>
                <c:ptCount val="5"/>
                <c:pt idx="0">
                  <c:v>1503100</c:v>
                </c:pt>
                <c:pt idx="1">
                  <c:v>1271000</c:v>
                </c:pt>
                <c:pt idx="2">
                  <c:v>940200</c:v>
                </c:pt>
                <c:pt idx="3">
                  <c:v>694600</c:v>
                </c:pt>
                <c:pt idx="4">
                  <c:v>549700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9-4744-B6B1-8CDDEB75E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967087"/>
        <c:axId val="153966255"/>
      </c:barChart>
      <c:catAx>
        <c:axId val="15396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6255"/>
        <c:crosses val="autoZero"/>
        <c:auto val="1"/>
        <c:lblAlgn val="ctr"/>
        <c:lblOffset val="100"/>
        <c:noMultiLvlLbl val="0"/>
      </c:catAx>
      <c:valAx>
        <c:axId val="153966255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15396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[Fabric Sales Analysis.xlsx]Pivot Tables!PivotTable1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Tables'!$O$3:$O$4</c:f>
              <c:strCache>
                <c:ptCount val="1"/>
                <c:pt idx="0">
                  <c:v>Adire Indigo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Tables'!$N$5:$N$10</c:f>
              <c:strCache>
                <c:ptCount val="5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  <c:pt idx="3">
                  <c:v>Kano</c:v>
                </c:pt>
                <c:pt idx="4">
                  <c:v>Ibadan</c:v>
                </c:pt>
              </c:strCache>
            </c:strRef>
          </c:cat>
          <c:val>
            <c:numRef>
              <c:f>'Pivot Tables'!$O$5:$O$10</c:f>
              <c:numCache>
                <c:formatCode>_(* #,##0.00_);_(* \(#,##0.00\);_(* "-"??_);_(@_)</c:formatCode>
                <c:ptCount val="5"/>
                <c:pt idx="0">
                  <c:v>12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8-48B8-A095-C8ECD187E61A}"/>
            </c:ext>
          </c:extLst>
        </c:ser>
        <c:ser>
          <c:idx val="1"/>
          <c:order val="1"/>
          <c:tx>
            <c:strRef>
              <c:f>'Pivot Tables'!$P$3:$P$4</c:f>
              <c:strCache>
                <c:ptCount val="1"/>
                <c:pt idx="0">
                  <c:v>Ankara Classic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Tables'!$N$5:$N$10</c:f>
              <c:strCache>
                <c:ptCount val="5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  <c:pt idx="3">
                  <c:v>Kano</c:v>
                </c:pt>
                <c:pt idx="4">
                  <c:v>Ibadan</c:v>
                </c:pt>
              </c:strCache>
            </c:strRef>
          </c:cat>
          <c:val>
            <c:numRef>
              <c:f>'Pivot Tables'!$P$5:$P$10</c:f>
              <c:numCache>
                <c:formatCode>_(* #,##0.00_);_(* \(#,##0.00\);_(* "-"??_);_(@_)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11</c:v>
                </c:pt>
                <c:pt idx="3">
                  <c:v>11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58-48B8-A095-C8ECD187E61A}"/>
            </c:ext>
          </c:extLst>
        </c:ser>
        <c:ser>
          <c:idx val="2"/>
          <c:order val="2"/>
          <c:tx>
            <c:strRef>
              <c:f>'Pivot Tables'!$Q$3:$Q$4</c:f>
              <c:strCache>
                <c:ptCount val="1"/>
                <c:pt idx="0">
                  <c:v>Damask Gold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Tables'!$N$5:$N$10</c:f>
              <c:strCache>
                <c:ptCount val="5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  <c:pt idx="3">
                  <c:v>Kano</c:v>
                </c:pt>
                <c:pt idx="4">
                  <c:v>Ibadan</c:v>
                </c:pt>
              </c:strCache>
            </c:strRef>
          </c:cat>
          <c:val>
            <c:numRef>
              <c:f>'Pivot Tables'!$Q$5:$Q$10</c:f>
              <c:numCache>
                <c:formatCode>_(* #,##0.00_);_(* \(#,##0.00\);_(* "-"??_);_(@_)</c:formatCode>
                <c:ptCount val="5"/>
                <c:pt idx="0">
                  <c:v>7</c:v>
                </c:pt>
                <c:pt idx="1">
                  <c:v>17</c:v>
                </c:pt>
                <c:pt idx="2">
                  <c:v>3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58-48B8-A095-C8ECD187E61A}"/>
            </c:ext>
          </c:extLst>
        </c:ser>
        <c:ser>
          <c:idx val="3"/>
          <c:order val="3"/>
          <c:tx>
            <c:strRef>
              <c:f>'Pivot Tables'!$R$3:$R$4</c:f>
              <c:strCache>
                <c:ptCount val="1"/>
                <c:pt idx="0">
                  <c:v>Lace Premium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Tables'!$N$5:$N$10</c:f>
              <c:strCache>
                <c:ptCount val="5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  <c:pt idx="3">
                  <c:v>Kano</c:v>
                </c:pt>
                <c:pt idx="4">
                  <c:v>Ibadan</c:v>
                </c:pt>
              </c:strCache>
            </c:strRef>
          </c:cat>
          <c:val>
            <c:numRef>
              <c:f>'Pivot Tables'!$R$5:$R$10</c:f>
              <c:numCache>
                <c:formatCode>_(* #,##0.00_);_(* \(#,##0.00\);_(* "-"??_);_(@_)</c:formatCode>
                <c:ptCount val="5"/>
                <c:pt idx="0">
                  <c:v>28</c:v>
                </c:pt>
                <c:pt idx="1">
                  <c:v>22</c:v>
                </c:pt>
                <c:pt idx="2">
                  <c:v>11</c:v>
                </c:pt>
                <c:pt idx="3">
                  <c:v>10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58-48B8-A095-C8ECD187E61A}"/>
            </c:ext>
          </c:extLst>
        </c:ser>
        <c:ser>
          <c:idx val="4"/>
          <c:order val="4"/>
          <c:tx>
            <c:strRef>
              <c:f>'Pivot Tables'!$S$3:$S$4</c:f>
              <c:strCache>
                <c:ptCount val="1"/>
                <c:pt idx="0">
                  <c:v>Silk Royal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Tables'!$N$5:$N$10</c:f>
              <c:strCache>
                <c:ptCount val="5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  <c:pt idx="3">
                  <c:v>Kano</c:v>
                </c:pt>
                <c:pt idx="4">
                  <c:v>Ibadan</c:v>
                </c:pt>
              </c:strCache>
            </c:strRef>
          </c:cat>
          <c:val>
            <c:numRef>
              <c:f>'Pivot Tables'!$S$5:$S$10</c:f>
              <c:numCache>
                <c:formatCode>_(* #,##0.00_);_(* \(#,##0.00\);_(* "-"??_);_(@_)</c:formatCode>
                <c:ptCount val="5"/>
                <c:pt idx="0">
                  <c:v>6</c:v>
                </c:pt>
                <c:pt idx="1">
                  <c:v>16</c:v>
                </c:pt>
                <c:pt idx="2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258-48B8-A095-C8ECD187E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597503"/>
        <c:axId val="271599167"/>
      </c:barChart>
      <c:catAx>
        <c:axId val="27159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99167"/>
        <c:crosses val="autoZero"/>
        <c:auto val="1"/>
        <c:lblAlgn val="ctr"/>
        <c:lblOffset val="100"/>
        <c:noMultiLvlLbl val="0"/>
      </c:catAx>
      <c:valAx>
        <c:axId val="271599167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27159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95250</xdr:rowOff>
    </xdr:from>
    <xdr:to>
      <xdr:col>16</xdr:col>
      <xdr:colOff>514350</xdr:colOff>
      <xdr:row>2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182962A-2D79-34F3-F0C7-19AD3FB8DF64}"/>
            </a:ext>
          </a:extLst>
        </xdr:cNvPr>
        <xdr:cNvSpPr/>
      </xdr:nvSpPr>
      <xdr:spPr>
        <a:xfrm>
          <a:off x="4895850" y="95250"/>
          <a:ext cx="5372100" cy="381000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62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OKORO FABRIC STORES SALES ANALYSIS</a:t>
          </a:r>
          <a:endParaRPr lang="en-US" sz="2000">
            <a:solidFill>
              <a:sysClr val="windowText" lastClr="00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66675</xdr:colOff>
      <xdr:row>8</xdr:row>
      <xdr:rowOff>0</xdr:rowOff>
    </xdr:from>
    <xdr:to>
      <xdr:col>7</xdr:col>
      <xdr:colOff>104775</xdr:colOff>
      <xdr:row>24</xdr:row>
      <xdr:rowOff>47625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BBE68C1-6930-46FD-F027-E778FF653FB2}"/>
            </a:ext>
          </a:extLst>
        </xdr:cNvPr>
        <xdr:cNvSpPr/>
      </xdr:nvSpPr>
      <xdr:spPr>
        <a:xfrm>
          <a:off x="66675" y="1524000"/>
          <a:ext cx="4305300" cy="3095625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35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228600</xdr:colOff>
      <xdr:row>7</xdr:row>
      <xdr:rowOff>161925</xdr:rowOff>
    </xdr:from>
    <xdr:to>
      <xdr:col>14</xdr:col>
      <xdr:colOff>400050</xdr:colOff>
      <xdr:row>24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D4EB27B-9D93-8586-2B66-3DA8E2F0DCB5}"/>
            </a:ext>
          </a:extLst>
        </xdr:cNvPr>
        <xdr:cNvSpPr/>
      </xdr:nvSpPr>
      <xdr:spPr>
        <a:xfrm>
          <a:off x="4495800" y="1495425"/>
          <a:ext cx="4438650" cy="3076575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35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542925</xdr:colOff>
      <xdr:row>8</xdr:row>
      <xdr:rowOff>19049</xdr:rowOff>
    </xdr:from>
    <xdr:to>
      <xdr:col>21</xdr:col>
      <xdr:colOff>542925</xdr:colOff>
      <xdr:row>24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8757377-E5CF-55C1-299A-0B529427ACE9}"/>
            </a:ext>
          </a:extLst>
        </xdr:cNvPr>
        <xdr:cNvSpPr/>
      </xdr:nvSpPr>
      <xdr:spPr>
        <a:xfrm>
          <a:off x="9077325" y="1543049"/>
          <a:ext cx="4267200" cy="3105151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35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19050</xdr:colOff>
      <xdr:row>7</xdr:row>
      <xdr:rowOff>161925</xdr:rowOff>
    </xdr:from>
    <xdr:to>
      <xdr:col>29</xdr:col>
      <xdr:colOff>161925</xdr:colOff>
      <xdr:row>24</xdr:row>
      <xdr:rowOff>28575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1DE3EF8-7353-BFCC-99A7-4988490FE3F0}"/>
            </a:ext>
          </a:extLst>
        </xdr:cNvPr>
        <xdr:cNvSpPr/>
      </xdr:nvSpPr>
      <xdr:spPr>
        <a:xfrm>
          <a:off x="13430250" y="1495425"/>
          <a:ext cx="4410075" cy="3105150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35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190501</xdr:colOff>
      <xdr:row>4</xdr:row>
      <xdr:rowOff>28575</xdr:rowOff>
    </xdr:from>
    <xdr:to>
      <xdr:col>8</xdr:col>
      <xdr:colOff>38101</xdr:colOff>
      <xdr:row>6</xdr:row>
      <xdr:rowOff>28575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2673DD6-7279-5DC2-EFD4-37EA42A0FE96}"/>
            </a:ext>
          </a:extLst>
        </xdr:cNvPr>
        <xdr:cNvSpPr/>
      </xdr:nvSpPr>
      <xdr:spPr>
        <a:xfrm>
          <a:off x="190501" y="790575"/>
          <a:ext cx="4724400" cy="381000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62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SUM OF REVENUE GEN.= </a:t>
          </a:r>
          <a:r>
            <a:rPr lang="en-US" sz="2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4,958,600.00 </a:t>
          </a:r>
          <a:r>
            <a:rPr lang="en-US" sz="20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000">
            <a:solidFill>
              <a:sysClr val="windowText" lastClr="00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209550</xdr:colOff>
      <xdr:row>9</xdr:row>
      <xdr:rowOff>9525</xdr:rowOff>
    </xdr:from>
    <xdr:to>
      <xdr:col>6</xdr:col>
      <xdr:colOff>552450</xdr:colOff>
      <xdr:row>23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9C5D1F-2A59-4948-B38A-E54E912FE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8</xdr:row>
      <xdr:rowOff>142875</xdr:rowOff>
    </xdr:from>
    <xdr:to>
      <xdr:col>14</xdr:col>
      <xdr:colOff>285750</xdr:colOff>
      <xdr:row>23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9E29BD-BC90-448B-9B71-78BE9FBA4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247650</xdr:colOff>
      <xdr:row>4</xdr:row>
      <xdr:rowOff>9525</xdr:rowOff>
    </xdr:from>
    <xdr:to>
      <xdr:col>16</xdr:col>
      <xdr:colOff>47625</xdr:colOff>
      <xdr:row>6</xdr:row>
      <xdr:rowOff>9525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1B9C1D1-C61E-312C-564F-F9F51A5AD44C}"/>
            </a:ext>
          </a:extLst>
        </xdr:cNvPr>
        <xdr:cNvSpPr/>
      </xdr:nvSpPr>
      <xdr:spPr>
        <a:xfrm>
          <a:off x="5124450" y="771525"/>
          <a:ext cx="4676775" cy="381000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62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SUM OF REVENUE EXP.=</a:t>
          </a:r>
          <a:r>
            <a:rPr lang="en-US" sz="2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7,366,400.00  </a:t>
          </a:r>
          <a:r>
            <a:rPr lang="en-US" sz="20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000">
            <a:solidFill>
              <a:sysClr val="windowText" lastClr="00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114300</xdr:colOff>
      <xdr:row>9</xdr:row>
      <xdr:rowOff>19050</xdr:rowOff>
    </xdr:from>
    <xdr:to>
      <xdr:col>21</xdr:col>
      <xdr:colOff>438150</xdr:colOff>
      <xdr:row>23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F026E5-4D4B-45CB-B582-1B1771DF0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200025</xdr:colOff>
      <xdr:row>8</xdr:row>
      <xdr:rowOff>142875</xdr:rowOff>
    </xdr:from>
    <xdr:to>
      <xdr:col>28</xdr:col>
      <xdr:colOff>600075</xdr:colOff>
      <xdr:row>23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E8C26D-61A7-4E7E-9723-8C48EF08A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171450</xdr:colOff>
      <xdr:row>4</xdr:row>
      <xdr:rowOff>9525</xdr:rowOff>
    </xdr:from>
    <xdr:to>
      <xdr:col>23</xdr:col>
      <xdr:colOff>581025</xdr:colOff>
      <xdr:row>6</xdr:row>
      <xdr:rowOff>9525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2B7AE0C-00C8-E2CB-6DB2-667DD7363FB2}"/>
            </a:ext>
          </a:extLst>
        </xdr:cNvPr>
        <xdr:cNvSpPr/>
      </xdr:nvSpPr>
      <xdr:spPr>
        <a:xfrm>
          <a:off x="9925050" y="771525"/>
          <a:ext cx="4676775" cy="381000"/>
        </a:xfrm>
        <a:prstGeom prst="roundRect">
          <a:avLst/>
        </a:prstGeom>
        <a:solidFill>
          <a:sysClr val="window" lastClr="FFFFFF"/>
        </a:solidFill>
        <a:ln>
          <a:solidFill>
            <a:srgbClr val="7030A0"/>
          </a:solidFill>
        </a:ln>
        <a:effectLst>
          <a:innerShdw blurRad="63500" dist="50800" dir="16200000">
            <a:srgbClr val="7030A0">
              <a:alpha val="50000"/>
            </a:srgb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TOTAL LOSS =</a:t>
          </a:r>
          <a:r>
            <a:rPr lang="en-US" sz="2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20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000">
            <a:solidFill>
              <a:sysClr val="windowText" lastClr="00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19</xdr:col>
      <xdr:colOff>104775</xdr:colOff>
      <xdr:row>4</xdr:row>
      <xdr:rowOff>56340</xdr:rowOff>
    </xdr:from>
    <xdr:to>
      <xdr:col>21</xdr:col>
      <xdr:colOff>466725</xdr:colOff>
      <xdr:row>6</xdr:row>
      <xdr:rowOff>28576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2B373F6-A208-07F0-8E72-9884FF565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7175" y="818340"/>
          <a:ext cx="1581150" cy="353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yisara" refreshedDate="46111.70362291667" createdVersion="8" refreshedVersion="8" minRefreshableVersion="3" recordCount="250" xr:uid="{5144C34C-52D3-42B4-A43D-F0F22077EC96}">
  <cacheSource type="worksheet">
    <worksheetSource name="Table1"/>
  </cacheSource>
  <cacheFields count="15">
    <cacheField name="Transaction_ID" numFmtId="0">
      <sharedItems/>
    </cacheField>
    <cacheField name="Date" numFmtId="14">
      <sharedItems containsSemiMixedTypes="0" containsNonDate="0" containsDate="1" containsString="0" minDate="2024-01-02T00:00:00" maxDate="2024-12-26T00:00:00" count="171">
        <d v="2024-11-23T00:00:00"/>
        <d v="2024-02-22T00:00:00"/>
        <d v="2024-01-16T00:00:00"/>
        <d v="2024-04-11T00:00:00"/>
        <d v="2024-10-28T00:00:00"/>
        <d v="2024-03-20T00:00:00"/>
        <d v="2024-07-02T00:00:00"/>
        <d v="2024-03-04T00:00:00"/>
        <d v="2024-04-08T00:00:00"/>
        <d v="2024-04-29T00:00:00"/>
        <d v="2024-07-08T00:00:00"/>
        <d v="2024-03-28T00:00:00"/>
        <d v="2024-01-17T00:00:00"/>
        <d v="2024-10-17T00:00:00"/>
        <d v="2024-11-25T00:00:00"/>
        <d v="2024-05-14T00:00:00"/>
        <d v="2024-03-11T00:00:00"/>
        <d v="2024-03-22T00:00:00"/>
        <d v="2024-11-01T00:00:00"/>
        <d v="2024-10-01T00:00:00"/>
        <d v="2024-03-21T00:00:00"/>
        <d v="2024-04-01T00:00:00"/>
        <d v="2024-03-19T00:00:00"/>
        <d v="2024-06-14T00:00:00"/>
        <d v="2024-05-03T00:00:00"/>
        <d v="2024-09-29T00:00:00"/>
        <d v="2024-05-15T00:00:00"/>
        <d v="2024-12-19T00:00:00"/>
        <d v="2024-09-21T00:00:00"/>
        <d v="2024-11-19T00:00:00"/>
        <d v="2024-05-01T00:00:00"/>
        <d v="2024-10-19T00:00:00"/>
        <d v="2024-02-19T00:00:00"/>
        <d v="2024-01-28T00:00:00"/>
        <d v="2024-06-22T00:00:00"/>
        <d v="2024-08-17T00:00:00"/>
        <d v="2024-02-08T00:00:00"/>
        <d v="2024-01-08T00:00:00"/>
        <d v="2024-04-19T00:00:00"/>
        <d v="2024-09-06T00:00:00"/>
        <d v="2024-10-04T00:00:00"/>
        <d v="2024-09-14T00:00:00"/>
        <d v="2024-04-05T00:00:00"/>
        <d v="2024-10-18T00:00:00"/>
        <d v="2024-12-02T00:00:00"/>
        <d v="2024-06-09T00:00:00"/>
        <d v="2024-02-07T00:00:00"/>
        <d v="2024-05-25T00:00:00"/>
        <d v="2024-11-30T00:00:00"/>
        <d v="2024-03-09T00:00:00"/>
        <d v="2024-05-24T00:00:00"/>
        <d v="2024-09-07T00:00:00"/>
        <d v="2024-01-02T00:00:00"/>
        <d v="2024-08-14T00:00:00"/>
        <d v="2024-08-08T00:00:00"/>
        <d v="2024-12-15T00:00:00"/>
        <d v="2024-06-19T00:00:00"/>
        <d v="2024-12-25T00:00:00"/>
        <d v="2024-08-23T00:00:00"/>
        <d v="2024-06-17T00:00:00"/>
        <d v="2024-12-13T00:00:00"/>
        <d v="2024-10-24T00:00:00"/>
        <d v="2024-05-10T00:00:00"/>
        <d v="2024-12-09T00:00:00"/>
        <d v="2024-12-05T00:00:00"/>
        <d v="2024-07-28T00:00:00"/>
        <d v="2024-08-03T00:00:00"/>
        <d v="2024-06-03T00:00:00"/>
        <d v="2024-10-23T00:00:00"/>
        <d v="2024-07-23T00:00:00"/>
        <d v="2024-08-05T00:00:00"/>
        <d v="2024-05-07T00:00:00"/>
        <d v="2024-10-31T00:00:00"/>
        <d v="2024-10-07T00:00:00"/>
        <d v="2024-05-06T00:00:00"/>
        <d v="2024-08-13T00:00:00"/>
        <d v="2024-10-03T00:00:00"/>
        <d v="2024-02-01T00:00:00"/>
        <d v="2024-10-21T00:00:00"/>
        <d v="2024-08-02T00:00:00"/>
        <d v="2024-04-22T00:00:00"/>
        <d v="2024-09-30T00:00:00"/>
        <d v="2024-08-07T00:00:00"/>
        <d v="2024-06-16T00:00:00"/>
        <d v="2024-06-28T00:00:00"/>
        <d v="2024-04-12T00:00:00"/>
        <d v="2024-12-08T00:00:00"/>
        <d v="2024-11-06T00:00:00"/>
        <d v="2024-10-02T00:00:00"/>
        <d v="2024-05-05T00:00:00"/>
        <d v="2024-11-08T00:00:00"/>
        <d v="2024-05-21T00:00:00"/>
        <d v="2024-07-27T00:00:00"/>
        <d v="2024-01-09T00:00:00"/>
        <d v="2024-10-08T00:00:00"/>
        <d v="2024-04-28T00:00:00"/>
        <d v="2024-04-26T00:00:00"/>
        <d v="2024-01-24T00:00:00"/>
        <d v="2024-01-07T00:00:00"/>
        <d v="2024-01-27T00:00:00"/>
        <d v="2024-10-15T00:00:00"/>
        <d v="2024-01-31T00:00:00"/>
        <d v="2024-02-11T00:00:00"/>
        <d v="2024-05-27T00:00:00"/>
        <d v="2024-10-05T00:00:00"/>
        <d v="2024-03-25T00:00:00"/>
        <d v="2024-01-11T00:00:00"/>
        <d v="2024-09-22T00:00:00"/>
        <d v="2024-09-08T00:00:00"/>
        <d v="2024-02-23T00:00:00"/>
        <d v="2024-07-24T00:00:00"/>
        <d v="2024-05-09T00:00:00"/>
        <d v="2024-07-30T00:00:00"/>
        <d v="2024-05-02T00:00:00"/>
        <d v="2024-02-17T00:00:00"/>
        <d v="2024-05-29T00:00:00"/>
        <d v="2024-08-21T00:00:00"/>
        <d v="2024-03-10T00:00:00"/>
        <d v="2024-03-17T00:00:00"/>
        <d v="2024-07-14T00:00:00"/>
        <d v="2024-12-11T00:00:00"/>
        <d v="2024-11-12T00:00:00"/>
        <d v="2024-02-16T00:00:00"/>
        <d v="2024-12-21T00:00:00"/>
        <d v="2024-07-10T00:00:00"/>
        <d v="2024-04-02T00:00:00"/>
        <d v="2024-01-05T00:00:00"/>
        <d v="2024-09-11T00:00:00"/>
        <d v="2024-04-07T00:00:00"/>
        <d v="2024-11-17T00:00:00"/>
        <d v="2024-03-08T00:00:00"/>
        <d v="2024-07-07T00:00:00"/>
        <d v="2024-11-22T00:00:00"/>
        <d v="2024-10-14T00:00:00"/>
        <d v="2024-12-24T00:00:00"/>
        <d v="2024-06-04T00:00:00"/>
        <d v="2024-08-20T00:00:00"/>
        <d v="2024-07-04T00:00:00"/>
        <d v="2024-01-26T00:00:00"/>
        <d v="2024-10-10T00:00:00"/>
        <d v="2024-03-30T00:00:00"/>
        <d v="2024-01-23T00:00:00"/>
        <d v="2024-08-15T00:00:00"/>
        <d v="2024-05-20T00:00:00"/>
        <d v="2024-09-28T00:00:00"/>
        <d v="2024-08-19T00:00:00"/>
        <d v="2024-02-18T00:00:00"/>
        <d v="2024-12-17T00:00:00"/>
        <d v="2024-07-09T00:00:00"/>
        <d v="2024-11-03T00:00:00"/>
        <d v="2024-05-22T00:00:00"/>
        <d v="2024-05-19T00:00:00"/>
        <d v="2024-03-14T00:00:00"/>
        <d v="2024-06-08T00:00:00"/>
        <d v="2024-12-04T00:00:00"/>
        <d v="2024-09-19T00:00:00"/>
        <d v="2024-09-26T00:00:00"/>
        <d v="2024-01-04T00:00:00"/>
        <d v="2024-03-02T00:00:00"/>
        <d v="2024-01-22T00:00:00"/>
        <d v="2024-10-20T00:00:00"/>
        <d v="2024-02-24T00:00:00"/>
        <d v="2024-06-07T00:00:00"/>
        <d v="2024-11-20T00:00:00"/>
        <d v="2024-11-26T00:00:00"/>
        <d v="2024-03-29T00:00:00"/>
        <d v="2024-08-24T00:00:00"/>
        <d v="2024-04-06T00:00:00"/>
        <d v="2024-12-01T00:00:00"/>
        <d v="2024-10-13T00:00:00"/>
        <d v="2024-02-09T00:00:00"/>
      </sharedItems>
      <fieldGroup par="14" base="1">
        <rangePr groupBy="days" startDate="2024-01-02T00:00:00" endDate="2024-12-26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6/2024"/>
        </groupItems>
      </fieldGroup>
    </cacheField>
    <cacheField name="Customer_ID" numFmtId="0">
      <sharedItems/>
    </cacheField>
    <cacheField name="Product_Name" numFmtId="0">
      <sharedItems count="5">
        <s v="Ankara Classic"/>
        <s v="Lace Premium"/>
        <s v="Adire Indigo"/>
        <s v="Silk Royal"/>
        <s v="Damask Gold"/>
      </sharedItems>
    </cacheField>
    <cacheField name="Region" numFmtId="0">
      <sharedItems count="5">
        <s v="Lagos"/>
        <s v="Abuja"/>
        <s v="Kano"/>
        <s v="Ibadan"/>
        <s v="Port Harcourt"/>
      </sharedItems>
    </cacheField>
    <cacheField name="Sales_Rep" numFmtId="0">
      <sharedItems count="5">
        <s v="David"/>
        <s v="Amaka"/>
        <s v="Tunde"/>
        <s v="Zainab"/>
        <s v="Femi"/>
      </sharedItems>
    </cacheField>
    <cacheField name="Quantity" numFmtId="0">
      <sharedItems containsMixedTypes="1" containsNumber="1" containsInteger="1" minValue="1" maxValue="5" count="6">
        <n v="3"/>
        <n v="1"/>
        <n v="5"/>
        <n v="2"/>
        <s v="NA"/>
        <n v="4"/>
      </sharedItems>
    </cacheField>
    <cacheField name="Standard Unit Price" numFmtId="0">
      <sharedItems containsSemiMixedTypes="0" containsString="0" containsNumber="1" containsInteger="1" minValue="9200" maxValue="15000"/>
    </cacheField>
    <cacheField name="Transactional Unit Price" numFmtId="0">
      <sharedItems containsMixedTypes="1" containsNumber="1" containsInteger="1" minValue="8500" maxValue="12000"/>
    </cacheField>
    <cacheField name="Price Difference" numFmtId="0">
      <sharedItems containsMixedTypes="1" containsNumber="1" containsInteger="1" minValue="-2800" maxValue="6500"/>
    </cacheField>
    <cacheField name="Revenue" numFmtId="0">
      <sharedItems containsMixedTypes="1" containsNumber="1" containsInteger="1" minValue="8500" maxValue="60000"/>
    </cacheField>
    <cacheField name="Expected Revenue" numFmtId="0">
      <sharedItems containsMixedTypes="1" containsNumber="1" containsInteger="1" minValue="9200" maxValue="75000"/>
    </cacheField>
    <cacheField name="Payment_Method" numFmtId="0">
      <sharedItems/>
    </cacheField>
    <cacheField name="Pricing Category" numFmtId="0">
      <sharedItems count="4">
        <s v="Underpriced"/>
        <s v="Missing"/>
        <s v="Overpriced"/>
        <s v="Correct"/>
      </sharedItems>
    </cacheField>
    <cacheField name="Months" numFmtId="0" databaseField="0">
      <fieldGroup base="1">
        <rangePr groupBy="months" startDate="2024-01-02T00:00:00" endDate="2024-12-26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10000"/>
    <x v="0"/>
    <s v="C1008"/>
    <x v="0"/>
    <x v="0"/>
    <x v="0"/>
    <x v="0"/>
    <n v="10000"/>
    <n v="9200"/>
    <n v="800"/>
    <n v="27600"/>
    <n v="30000"/>
    <s v="Transfer"/>
    <x v="0"/>
  </r>
  <r>
    <s v="T10001"/>
    <x v="1"/>
    <s v="C1002"/>
    <x v="0"/>
    <x v="0"/>
    <x v="1"/>
    <x v="1"/>
    <n v="10000"/>
    <s v="NA"/>
    <s v="NA"/>
    <s v="NA"/>
    <n v="10000"/>
    <s v="Cash"/>
    <x v="1"/>
  </r>
  <r>
    <s v="T10002"/>
    <x v="2"/>
    <s v="C1035"/>
    <x v="0"/>
    <x v="1"/>
    <x v="2"/>
    <x v="2"/>
    <n v="10000"/>
    <s v="NA"/>
    <s v="NA"/>
    <s v="NA"/>
    <n v="50000"/>
    <s v="Cash"/>
    <x v="1"/>
  </r>
  <r>
    <s v="T10003"/>
    <x v="3"/>
    <s v="C1028"/>
    <x v="0"/>
    <x v="0"/>
    <x v="3"/>
    <x v="2"/>
    <n v="10000"/>
    <n v="12000"/>
    <n v="-2000"/>
    <n v="60000"/>
    <n v="50000"/>
    <s v="Transfer"/>
    <x v="2"/>
  </r>
  <r>
    <s v="T10004"/>
    <x v="4"/>
    <s v="C1017"/>
    <x v="1"/>
    <x v="1"/>
    <x v="3"/>
    <x v="3"/>
    <n v="12000"/>
    <n v="12000"/>
    <n v="0"/>
    <n v="24000"/>
    <n v="24000"/>
    <s v="Pos"/>
    <x v="3"/>
  </r>
  <r>
    <s v="T10005"/>
    <x v="5"/>
    <s v="C1006"/>
    <x v="2"/>
    <x v="1"/>
    <x v="0"/>
    <x v="1"/>
    <n v="9200"/>
    <n v="8500"/>
    <n v="700"/>
    <n v="8500"/>
    <n v="9200"/>
    <s v="Cash"/>
    <x v="0"/>
  </r>
  <r>
    <s v="T10006"/>
    <x v="6"/>
    <s v="C1034"/>
    <x v="1"/>
    <x v="2"/>
    <x v="2"/>
    <x v="0"/>
    <n v="12000"/>
    <n v="8500"/>
    <n v="3500"/>
    <n v="25500"/>
    <n v="36000"/>
    <s v="Cash"/>
    <x v="0"/>
  </r>
  <r>
    <s v="T10007"/>
    <x v="7"/>
    <s v="C1036"/>
    <x v="3"/>
    <x v="0"/>
    <x v="2"/>
    <x v="0"/>
    <n v="15000"/>
    <s v="NA"/>
    <s v="NA"/>
    <s v="NA"/>
    <n v="45000"/>
    <s v="Pos"/>
    <x v="1"/>
  </r>
  <r>
    <s v="T10008"/>
    <x v="8"/>
    <s v="C1005"/>
    <x v="0"/>
    <x v="0"/>
    <x v="2"/>
    <x v="4"/>
    <n v="10000"/>
    <n v="9200"/>
    <n v="800"/>
    <s v="NA"/>
    <s v="NA"/>
    <s v="Pos"/>
    <x v="0"/>
  </r>
  <r>
    <s v="T10009"/>
    <x v="9"/>
    <s v="C1010"/>
    <x v="1"/>
    <x v="0"/>
    <x v="3"/>
    <x v="0"/>
    <n v="12000"/>
    <n v="12000"/>
    <n v="0"/>
    <n v="36000"/>
    <n v="36000"/>
    <s v="Pos"/>
    <x v="3"/>
  </r>
  <r>
    <s v="T10010"/>
    <x v="10"/>
    <s v="C1040"/>
    <x v="1"/>
    <x v="1"/>
    <x v="4"/>
    <x v="0"/>
    <n v="12000"/>
    <n v="8500"/>
    <n v="3500"/>
    <n v="25500"/>
    <n v="36000"/>
    <s v="Transfer"/>
    <x v="0"/>
  </r>
  <r>
    <s v="T10011"/>
    <x v="11"/>
    <s v="C1017"/>
    <x v="4"/>
    <x v="0"/>
    <x v="2"/>
    <x v="3"/>
    <n v="13000"/>
    <n v="12000"/>
    <n v="1000"/>
    <n v="24000"/>
    <n v="26000"/>
    <s v="Cash"/>
    <x v="0"/>
  </r>
  <r>
    <s v="T10012"/>
    <x v="0"/>
    <s v="C1014"/>
    <x v="0"/>
    <x v="3"/>
    <x v="4"/>
    <x v="4"/>
    <n v="10000"/>
    <n v="10000"/>
    <n v="0"/>
    <s v="NA"/>
    <s v="NA"/>
    <s v="Cash"/>
    <x v="3"/>
  </r>
  <r>
    <s v="T10013"/>
    <x v="12"/>
    <s v="C1058"/>
    <x v="1"/>
    <x v="2"/>
    <x v="2"/>
    <x v="0"/>
    <n v="12000"/>
    <n v="8500"/>
    <n v="3500"/>
    <n v="25500"/>
    <n v="36000"/>
    <s v="Transfer"/>
    <x v="0"/>
  </r>
  <r>
    <s v="T10014"/>
    <x v="13"/>
    <s v="C1056"/>
    <x v="0"/>
    <x v="2"/>
    <x v="3"/>
    <x v="4"/>
    <n v="10000"/>
    <n v="12000"/>
    <n v="-2000"/>
    <s v="NA"/>
    <s v="NA"/>
    <s v="Cash"/>
    <x v="2"/>
  </r>
  <r>
    <s v="T10015"/>
    <x v="14"/>
    <s v="C1034"/>
    <x v="3"/>
    <x v="1"/>
    <x v="0"/>
    <x v="3"/>
    <n v="15000"/>
    <n v="9200"/>
    <n v="5800"/>
    <n v="18400"/>
    <n v="30000"/>
    <s v="Transfer"/>
    <x v="0"/>
  </r>
  <r>
    <s v="T10016"/>
    <x v="15"/>
    <s v="C1014"/>
    <x v="0"/>
    <x v="3"/>
    <x v="3"/>
    <x v="2"/>
    <n v="10000"/>
    <n v="12000"/>
    <n v="-2000"/>
    <n v="60000"/>
    <n v="50000"/>
    <s v="Pos"/>
    <x v="2"/>
  </r>
  <r>
    <s v="T10017"/>
    <x v="16"/>
    <s v="C1040"/>
    <x v="4"/>
    <x v="4"/>
    <x v="4"/>
    <x v="1"/>
    <n v="13000"/>
    <n v="8500"/>
    <n v="4500"/>
    <n v="8500"/>
    <n v="13000"/>
    <s v="Transfer"/>
    <x v="0"/>
  </r>
  <r>
    <s v="T10018"/>
    <x v="17"/>
    <s v="C1024"/>
    <x v="1"/>
    <x v="0"/>
    <x v="4"/>
    <x v="2"/>
    <n v="12000"/>
    <n v="8500"/>
    <n v="3500"/>
    <n v="42500"/>
    <n v="60000"/>
    <s v="Cash"/>
    <x v="0"/>
  </r>
  <r>
    <s v="T10019"/>
    <x v="18"/>
    <s v="C1043"/>
    <x v="3"/>
    <x v="3"/>
    <x v="3"/>
    <x v="2"/>
    <n v="15000"/>
    <n v="8500"/>
    <n v="6500"/>
    <n v="42500"/>
    <n v="75000"/>
    <s v="Cash"/>
    <x v="0"/>
  </r>
  <r>
    <s v="T10020"/>
    <x v="19"/>
    <s v="C1027"/>
    <x v="1"/>
    <x v="2"/>
    <x v="2"/>
    <x v="0"/>
    <n v="12000"/>
    <n v="8500"/>
    <n v="3500"/>
    <n v="25500"/>
    <n v="36000"/>
    <s v="Pos"/>
    <x v="0"/>
  </r>
  <r>
    <s v="T10021"/>
    <x v="20"/>
    <s v="C1048"/>
    <x v="3"/>
    <x v="0"/>
    <x v="0"/>
    <x v="4"/>
    <n v="15000"/>
    <n v="10000"/>
    <n v="5000"/>
    <s v="NA"/>
    <s v="NA"/>
    <s v="Transfer"/>
    <x v="0"/>
  </r>
  <r>
    <s v="T10022"/>
    <x v="21"/>
    <s v="C1012"/>
    <x v="4"/>
    <x v="0"/>
    <x v="2"/>
    <x v="0"/>
    <n v="13000"/>
    <s v="NA"/>
    <s v="NA"/>
    <s v="NA"/>
    <n v="39000"/>
    <s v="Transfer"/>
    <x v="1"/>
  </r>
  <r>
    <s v="T10023"/>
    <x v="22"/>
    <s v="C1038"/>
    <x v="1"/>
    <x v="1"/>
    <x v="1"/>
    <x v="2"/>
    <n v="12000"/>
    <s v="NA"/>
    <s v="NA"/>
    <s v="NA"/>
    <n v="60000"/>
    <s v="Cash"/>
    <x v="1"/>
  </r>
  <r>
    <s v="T10024"/>
    <x v="23"/>
    <s v="C1003"/>
    <x v="3"/>
    <x v="0"/>
    <x v="2"/>
    <x v="0"/>
    <n v="15000"/>
    <n v="10000"/>
    <n v="5000"/>
    <n v="30000"/>
    <n v="45000"/>
    <s v="Transfer"/>
    <x v="0"/>
  </r>
  <r>
    <s v="T10025"/>
    <x v="24"/>
    <s v="C1048"/>
    <x v="4"/>
    <x v="0"/>
    <x v="2"/>
    <x v="4"/>
    <n v="13000"/>
    <n v="12000"/>
    <n v="1000"/>
    <s v="NA"/>
    <s v="NA"/>
    <s v="Cash"/>
    <x v="0"/>
  </r>
  <r>
    <s v="T10026"/>
    <x v="25"/>
    <s v="C1010"/>
    <x v="1"/>
    <x v="1"/>
    <x v="1"/>
    <x v="4"/>
    <n v="12000"/>
    <n v="12000"/>
    <n v="0"/>
    <s v="NA"/>
    <s v="NA"/>
    <s v="Transfer"/>
    <x v="3"/>
  </r>
  <r>
    <s v="T10027"/>
    <x v="26"/>
    <s v="C1048"/>
    <x v="4"/>
    <x v="1"/>
    <x v="0"/>
    <x v="5"/>
    <n v="13000"/>
    <n v="9200"/>
    <n v="3800"/>
    <n v="36800"/>
    <n v="52000"/>
    <s v="Transfer"/>
    <x v="0"/>
  </r>
  <r>
    <s v="T10028"/>
    <x v="27"/>
    <s v="C1057"/>
    <x v="2"/>
    <x v="0"/>
    <x v="4"/>
    <x v="5"/>
    <n v="9200"/>
    <n v="10000"/>
    <n v="-800"/>
    <n v="40000"/>
    <n v="36800"/>
    <s v="Cash"/>
    <x v="2"/>
  </r>
  <r>
    <s v="T10029"/>
    <x v="28"/>
    <s v="C1001"/>
    <x v="3"/>
    <x v="0"/>
    <x v="1"/>
    <x v="3"/>
    <n v="15000"/>
    <n v="8500"/>
    <n v="6500"/>
    <n v="17000"/>
    <n v="30000"/>
    <s v="Pos"/>
    <x v="0"/>
  </r>
  <r>
    <s v="T10030"/>
    <x v="4"/>
    <s v="C1045"/>
    <x v="4"/>
    <x v="1"/>
    <x v="0"/>
    <x v="3"/>
    <n v="13000"/>
    <n v="8500"/>
    <n v="4500"/>
    <n v="17000"/>
    <n v="26000"/>
    <s v="Cash"/>
    <x v="0"/>
  </r>
  <r>
    <s v="T10031"/>
    <x v="29"/>
    <s v="C1032"/>
    <x v="0"/>
    <x v="1"/>
    <x v="2"/>
    <x v="1"/>
    <n v="10000"/>
    <n v="10000"/>
    <n v="0"/>
    <n v="10000"/>
    <n v="10000"/>
    <s v="Cash"/>
    <x v="3"/>
  </r>
  <r>
    <s v="T10032"/>
    <x v="30"/>
    <s v="C1046"/>
    <x v="1"/>
    <x v="0"/>
    <x v="3"/>
    <x v="3"/>
    <n v="12000"/>
    <s v="NA"/>
    <s v="NA"/>
    <s v="NA"/>
    <n v="24000"/>
    <s v="Transfer"/>
    <x v="1"/>
  </r>
  <r>
    <s v="T10033"/>
    <x v="31"/>
    <s v="C1006"/>
    <x v="4"/>
    <x v="4"/>
    <x v="1"/>
    <x v="5"/>
    <n v="13000"/>
    <n v="12000"/>
    <n v="1000"/>
    <n v="48000"/>
    <n v="52000"/>
    <s v="Transfer"/>
    <x v="0"/>
  </r>
  <r>
    <s v="T10034"/>
    <x v="32"/>
    <s v="C1055"/>
    <x v="0"/>
    <x v="4"/>
    <x v="4"/>
    <x v="5"/>
    <n v="10000"/>
    <n v="12000"/>
    <n v="-2000"/>
    <n v="48000"/>
    <n v="40000"/>
    <s v="Cash"/>
    <x v="2"/>
  </r>
  <r>
    <s v="T10035"/>
    <x v="33"/>
    <s v="C1046"/>
    <x v="0"/>
    <x v="0"/>
    <x v="2"/>
    <x v="1"/>
    <n v="10000"/>
    <n v="8500"/>
    <n v="1500"/>
    <n v="8500"/>
    <n v="10000"/>
    <s v="Cash"/>
    <x v="0"/>
  </r>
  <r>
    <s v="T10036"/>
    <x v="34"/>
    <s v="C1034"/>
    <x v="1"/>
    <x v="1"/>
    <x v="2"/>
    <x v="3"/>
    <n v="12000"/>
    <n v="9200"/>
    <n v="2800"/>
    <n v="18400"/>
    <n v="24000"/>
    <s v="Transfer"/>
    <x v="0"/>
  </r>
  <r>
    <s v="T10037"/>
    <x v="35"/>
    <s v="C1055"/>
    <x v="2"/>
    <x v="4"/>
    <x v="1"/>
    <x v="0"/>
    <n v="9200"/>
    <n v="12000"/>
    <n v="-2800"/>
    <n v="36000"/>
    <n v="27600"/>
    <s v="Transfer"/>
    <x v="2"/>
  </r>
  <r>
    <s v="T10038"/>
    <x v="36"/>
    <s v="C1053"/>
    <x v="3"/>
    <x v="1"/>
    <x v="0"/>
    <x v="1"/>
    <n v="15000"/>
    <n v="8500"/>
    <n v="6500"/>
    <n v="8500"/>
    <n v="15000"/>
    <s v="Transfer"/>
    <x v="0"/>
  </r>
  <r>
    <s v="T10039"/>
    <x v="37"/>
    <s v="C1030"/>
    <x v="0"/>
    <x v="1"/>
    <x v="1"/>
    <x v="3"/>
    <n v="10000"/>
    <n v="12000"/>
    <n v="-2000"/>
    <n v="24000"/>
    <n v="20000"/>
    <s v="Cash"/>
    <x v="2"/>
  </r>
  <r>
    <s v="T10040"/>
    <x v="38"/>
    <s v="C1024"/>
    <x v="1"/>
    <x v="4"/>
    <x v="2"/>
    <x v="3"/>
    <n v="12000"/>
    <n v="12000"/>
    <n v="0"/>
    <n v="24000"/>
    <n v="24000"/>
    <s v="Cash"/>
    <x v="3"/>
  </r>
  <r>
    <s v="T10041"/>
    <x v="26"/>
    <s v="C1042"/>
    <x v="1"/>
    <x v="1"/>
    <x v="3"/>
    <x v="0"/>
    <n v="12000"/>
    <n v="12000"/>
    <n v="0"/>
    <n v="36000"/>
    <n v="36000"/>
    <s v="Transfer"/>
    <x v="3"/>
  </r>
  <r>
    <s v="T10042"/>
    <x v="39"/>
    <s v="C1047"/>
    <x v="2"/>
    <x v="1"/>
    <x v="4"/>
    <x v="3"/>
    <n v="9200"/>
    <n v="8500"/>
    <n v="700"/>
    <n v="17000"/>
    <n v="18400"/>
    <s v="Transfer"/>
    <x v="0"/>
  </r>
  <r>
    <s v="T10043"/>
    <x v="40"/>
    <s v="C1030"/>
    <x v="0"/>
    <x v="0"/>
    <x v="4"/>
    <x v="1"/>
    <n v="10000"/>
    <n v="8500"/>
    <n v="1500"/>
    <n v="8500"/>
    <n v="10000"/>
    <s v="Transfer"/>
    <x v="0"/>
  </r>
  <r>
    <s v="T10044"/>
    <x v="41"/>
    <s v="C1054"/>
    <x v="1"/>
    <x v="3"/>
    <x v="1"/>
    <x v="1"/>
    <n v="12000"/>
    <s v="NA"/>
    <s v="NA"/>
    <s v="NA"/>
    <n v="12000"/>
    <s v="Cash"/>
    <x v="1"/>
  </r>
  <r>
    <s v="T10045"/>
    <x v="42"/>
    <s v="C1007"/>
    <x v="0"/>
    <x v="3"/>
    <x v="2"/>
    <x v="4"/>
    <n v="10000"/>
    <n v="9200"/>
    <n v="800"/>
    <s v="NA"/>
    <s v="NA"/>
    <s v="Cash"/>
    <x v="0"/>
  </r>
  <r>
    <s v="T10046"/>
    <x v="43"/>
    <s v="C1026"/>
    <x v="2"/>
    <x v="3"/>
    <x v="0"/>
    <x v="1"/>
    <n v="9200"/>
    <s v="NA"/>
    <s v="NA"/>
    <s v="NA"/>
    <n v="9200"/>
    <s v="Cash"/>
    <x v="1"/>
  </r>
  <r>
    <s v="T10047"/>
    <x v="44"/>
    <s v="C1042"/>
    <x v="4"/>
    <x v="3"/>
    <x v="0"/>
    <x v="0"/>
    <n v="13000"/>
    <n v="10000"/>
    <n v="3000"/>
    <n v="30000"/>
    <n v="39000"/>
    <s v="Transfer"/>
    <x v="0"/>
  </r>
  <r>
    <s v="T10048"/>
    <x v="45"/>
    <s v="C1020"/>
    <x v="2"/>
    <x v="2"/>
    <x v="3"/>
    <x v="3"/>
    <n v="9200"/>
    <n v="10000"/>
    <n v="-800"/>
    <n v="20000"/>
    <n v="18400"/>
    <s v="Cash"/>
    <x v="2"/>
  </r>
  <r>
    <s v="T10049"/>
    <x v="46"/>
    <s v="C1034"/>
    <x v="0"/>
    <x v="4"/>
    <x v="0"/>
    <x v="2"/>
    <n v="10000"/>
    <n v="8500"/>
    <n v="1500"/>
    <n v="42500"/>
    <n v="50000"/>
    <s v="Cash"/>
    <x v="0"/>
  </r>
  <r>
    <s v="T10050"/>
    <x v="38"/>
    <s v="C1023"/>
    <x v="4"/>
    <x v="2"/>
    <x v="1"/>
    <x v="0"/>
    <n v="13000"/>
    <n v="8500"/>
    <n v="4500"/>
    <n v="25500"/>
    <n v="39000"/>
    <s v="Transfer"/>
    <x v="0"/>
  </r>
  <r>
    <s v="T10051"/>
    <x v="47"/>
    <s v="C1051"/>
    <x v="2"/>
    <x v="4"/>
    <x v="0"/>
    <x v="4"/>
    <n v="9200"/>
    <n v="10000"/>
    <n v="-800"/>
    <s v="NA"/>
    <s v="NA"/>
    <s v="Transfer"/>
    <x v="2"/>
  </r>
  <r>
    <s v="T10052"/>
    <x v="48"/>
    <s v="C1056"/>
    <x v="4"/>
    <x v="0"/>
    <x v="2"/>
    <x v="2"/>
    <n v="13000"/>
    <n v="10000"/>
    <n v="3000"/>
    <n v="50000"/>
    <n v="65000"/>
    <s v="Cash"/>
    <x v="0"/>
  </r>
  <r>
    <s v="T10053"/>
    <x v="49"/>
    <s v="C1017"/>
    <x v="1"/>
    <x v="0"/>
    <x v="2"/>
    <x v="4"/>
    <n v="12000"/>
    <s v="NA"/>
    <s v="NA"/>
    <s v="NA"/>
    <s v="NA"/>
    <s v="Transfer"/>
    <x v="1"/>
  </r>
  <r>
    <s v="T10054"/>
    <x v="50"/>
    <s v="C1032"/>
    <x v="4"/>
    <x v="1"/>
    <x v="2"/>
    <x v="0"/>
    <n v="13000"/>
    <n v="9200"/>
    <n v="3800"/>
    <n v="27600"/>
    <n v="39000"/>
    <s v="Pos"/>
    <x v="0"/>
  </r>
  <r>
    <s v="T10055"/>
    <x v="51"/>
    <s v="C1002"/>
    <x v="1"/>
    <x v="1"/>
    <x v="2"/>
    <x v="1"/>
    <n v="12000"/>
    <n v="12000"/>
    <n v="0"/>
    <n v="12000"/>
    <n v="12000"/>
    <s v="Pos"/>
    <x v="3"/>
  </r>
  <r>
    <s v="T10056"/>
    <x v="52"/>
    <s v="C1047"/>
    <x v="1"/>
    <x v="1"/>
    <x v="1"/>
    <x v="4"/>
    <n v="12000"/>
    <n v="10000"/>
    <n v="2000"/>
    <s v="NA"/>
    <s v="NA"/>
    <s v="Transfer"/>
    <x v="0"/>
  </r>
  <r>
    <s v="T10057"/>
    <x v="53"/>
    <s v="C1004"/>
    <x v="4"/>
    <x v="0"/>
    <x v="3"/>
    <x v="2"/>
    <n v="13000"/>
    <n v="8500"/>
    <n v="4500"/>
    <n v="42500"/>
    <n v="65000"/>
    <s v="Cash"/>
    <x v="0"/>
  </r>
  <r>
    <s v="T10058"/>
    <x v="27"/>
    <s v="C1009"/>
    <x v="2"/>
    <x v="3"/>
    <x v="2"/>
    <x v="0"/>
    <n v="9200"/>
    <s v="NA"/>
    <s v="NA"/>
    <s v="NA"/>
    <n v="27600"/>
    <s v="Transfer"/>
    <x v="1"/>
  </r>
  <r>
    <s v="T10059"/>
    <x v="54"/>
    <s v="C1013"/>
    <x v="2"/>
    <x v="0"/>
    <x v="4"/>
    <x v="0"/>
    <n v="9200"/>
    <n v="8500"/>
    <n v="700"/>
    <n v="25500"/>
    <n v="27600"/>
    <s v="Pos"/>
    <x v="0"/>
  </r>
  <r>
    <s v="T10060"/>
    <x v="55"/>
    <s v="C1039"/>
    <x v="2"/>
    <x v="0"/>
    <x v="2"/>
    <x v="0"/>
    <n v="9200"/>
    <s v="NA"/>
    <s v="NA"/>
    <s v="NA"/>
    <n v="27600"/>
    <s v="Cash"/>
    <x v="1"/>
  </r>
  <r>
    <s v="T10061"/>
    <x v="5"/>
    <s v="C1011"/>
    <x v="2"/>
    <x v="1"/>
    <x v="1"/>
    <x v="3"/>
    <n v="9200"/>
    <n v="12000"/>
    <n v="-2800"/>
    <n v="24000"/>
    <n v="18400"/>
    <s v="Cash"/>
    <x v="2"/>
  </r>
  <r>
    <s v="T10062"/>
    <x v="56"/>
    <s v="C1010"/>
    <x v="1"/>
    <x v="4"/>
    <x v="2"/>
    <x v="4"/>
    <n v="12000"/>
    <n v="9200"/>
    <n v="2800"/>
    <s v="NA"/>
    <s v="NA"/>
    <s v="Pos"/>
    <x v="0"/>
  </r>
  <r>
    <s v="T10063"/>
    <x v="57"/>
    <s v="C1052"/>
    <x v="0"/>
    <x v="4"/>
    <x v="2"/>
    <x v="5"/>
    <n v="10000"/>
    <n v="9200"/>
    <n v="800"/>
    <n v="36800"/>
    <n v="40000"/>
    <s v="Transfer"/>
    <x v="0"/>
  </r>
  <r>
    <s v="T10064"/>
    <x v="58"/>
    <s v="C1025"/>
    <x v="1"/>
    <x v="2"/>
    <x v="1"/>
    <x v="3"/>
    <n v="12000"/>
    <n v="8500"/>
    <n v="3500"/>
    <n v="17000"/>
    <n v="24000"/>
    <s v="Transfer"/>
    <x v="0"/>
  </r>
  <r>
    <s v="T10065"/>
    <x v="59"/>
    <s v="C1025"/>
    <x v="1"/>
    <x v="1"/>
    <x v="2"/>
    <x v="0"/>
    <n v="12000"/>
    <n v="10000"/>
    <n v="2000"/>
    <n v="30000"/>
    <n v="36000"/>
    <s v="Transfer"/>
    <x v="0"/>
  </r>
  <r>
    <s v="T10066"/>
    <x v="60"/>
    <s v="C1011"/>
    <x v="1"/>
    <x v="3"/>
    <x v="4"/>
    <x v="1"/>
    <n v="12000"/>
    <n v="8500"/>
    <n v="3500"/>
    <n v="8500"/>
    <n v="12000"/>
    <s v="Pos"/>
    <x v="0"/>
  </r>
  <r>
    <s v="T10067"/>
    <x v="61"/>
    <s v="C1046"/>
    <x v="1"/>
    <x v="0"/>
    <x v="2"/>
    <x v="2"/>
    <n v="12000"/>
    <n v="12000"/>
    <n v="0"/>
    <n v="60000"/>
    <n v="60000"/>
    <s v="Pos"/>
    <x v="3"/>
  </r>
  <r>
    <s v="T10068"/>
    <x v="45"/>
    <s v="C1012"/>
    <x v="3"/>
    <x v="3"/>
    <x v="0"/>
    <x v="1"/>
    <n v="15000"/>
    <n v="12000"/>
    <n v="3000"/>
    <n v="12000"/>
    <n v="15000"/>
    <s v="Transfer"/>
    <x v="0"/>
  </r>
  <r>
    <s v="T10069"/>
    <x v="62"/>
    <s v="C1043"/>
    <x v="0"/>
    <x v="0"/>
    <x v="3"/>
    <x v="1"/>
    <n v="10000"/>
    <s v="NA"/>
    <s v="NA"/>
    <s v="NA"/>
    <n v="10000"/>
    <s v="Transfer"/>
    <x v="1"/>
  </r>
  <r>
    <s v="T10070"/>
    <x v="63"/>
    <s v="C1020"/>
    <x v="2"/>
    <x v="2"/>
    <x v="3"/>
    <x v="1"/>
    <n v="9200"/>
    <n v="10000"/>
    <n v="-800"/>
    <n v="10000"/>
    <n v="9200"/>
    <s v="Transfer"/>
    <x v="2"/>
  </r>
  <r>
    <s v="T10071"/>
    <x v="64"/>
    <s v="C1042"/>
    <x v="1"/>
    <x v="0"/>
    <x v="2"/>
    <x v="0"/>
    <n v="12000"/>
    <s v="NA"/>
    <s v="NA"/>
    <s v="NA"/>
    <n v="36000"/>
    <s v="Pos"/>
    <x v="1"/>
  </r>
  <r>
    <s v="T10072"/>
    <x v="65"/>
    <s v="C1012"/>
    <x v="1"/>
    <x v="4"/>
    <x v="2"/>
    <x v="0"/>
    <n v="12000"/>
    <s v="NA"/>
    <s v="NA"/>
    <s v="NA"/>
    <n v="36000"/>
    <s v="Transfer"/>
    <x v="1"/>
  </r>
  <r>
    <s v="T10073"/>
    <x v="66"/>
    <s v="C1036"/>
    <x v="0"/>
    <x v="4"/>
    <x v="2"/>
    <x v="4"/>
    <n v="10000"/>
    <n v="9200"/>
    <n v="800"/>
    <s v="NA"/>
    <s v="NA"/>
    <s v="Transfer"/>
    <x v="0"/>
  </r>
  <r>
    <s v="T10074"/>
    <x v="67"/>
    <s v="C1027"/>
    <x v="3"/>
    <x v="3"/>
    <x v="2"/>
    <x v="0"/>
    <n v="15000"/>
    <n v="10000"/>
    <n v="5000"/>
    <n v="30000"/>
    <n v="45000"/>
    <s v="Transfer"/>
    <x v="0"/>
  </r>
  <r>
    <s v="T10075"/>
    <x v="68"/>
    <s v="C1043"/>
    <x v="4"/>
    <x v="0"/>
    <x v="4"/>
    <x v="5"/>
    <n v="13000"/>
    <n v="12000"/>
    <n v="1000"/>
    <n v="48000"/>
    <n v="52000"/>
    <s v="Cash"/>
    <x v="0"/>
  </r>
  <r>
    <s v="T10076"/>
    <x v="38"/>
    <s v="C1032"/>
    <x v="4"/>
    <x v="4"/>
    <x v="2"/>
    <x v="3"/>
    <n v="13000"/>
    <n v="8500"/>
    <n v="4500"/>
    <n v="17000"/>
    <n v="26000"/>
    <s v="Pos"/>
    <x v="0"/>
  </r>
  <r>
    <s v="T10077"/>
    <x v="64"/>
    <s v="C1014"/>
    <x v="0"/>
    <x v="3"/>
    <x v="4"/>
    <x v="1"/>
    <n v="10000"/>
    <n v="9200"/>
    <n v="800"/>
    <n v="9200"/>
    <n v="10000"/>
    <s v="Pos"/>
    <x v="0"/>
  </r>
  <r>
    <s v="T10078"/>
    <x v="3"/>
    <s v="C1054"/>
    <x v="2"/>
    <x v="0"/>
    <x v="2"/>
    <x v="3"/>
    <n v="9200"/>
    <n v="12000"/>
    <n v="-2800"/>
    <n v="24000"/>
    <n v="18400"/>
    <s v="Transfer"/>
    <x v="2"/>
  </r>
  <r>
    <s v="T10079"/>
    <x v="46"/>
    <s v="C1031"/>
    <x v="3"/>
    <x v="4"/>
    <x v="2"/>
    <x v="2"/>
    <n v="15000"/>
    <n v="9200"/>
    <n v="5800"/>
    <n v="46000"/>
    <n v="75000"/>
    <s v="Cash"/>
    <x v="0"/>
  </r>
  <r>
    <s v="T10080"/>
    <x v="69"/>
    <s v="C1049"/>
    <x v="2"/>
    <x v="1"/>
    <x v="2"/>
    <x v="4"/>
    <n v="9200"/>
    <n v="8500"/>
    <n v="700"/>
    <s v="NA"/>
    <s v="NA"/>
    <s v="Cash"/>
    <x v="0"/>
  </r>
  <r>
    <s v="T10081"/>
    <x v="70"/>
    <s v="C1035"/>
    <x v="2"/>
    <x v="1"/>
    <x v="2"/>
    <x v="2"/>
    <n v="9200"/>
    <n v="12000"/>
    <n v="-2800"/>
    <n v="60000"/>
    <n v="46000"/>
    <s v="Cash"/>
    <x v="2"/>
  </r>
  <r>
    <s v="T10082"/>
    <x v="71"/>
    <s v="C1035"/>
    <x v="1"/>
    <x v="0"/>
    <x v="3"/>
    <x v="3"/>
    <n v="12000"/>
    <n v="12000"/>
    <n v="0"/>
    <n v="24000"/>
    <n v="24000"/>
    <s v="Transfer"/>
    <x v="3"/>
  </r>
  <r>
    <s v="T10083"/>
    <x v="72"/>
    <s v="C1053"/>
    <x v="1"/>
    <x v="1"/>
    <x v="3"/>
    <x v="2"/>
    <n v="12000"/>
    <s v="NA"/>
    <s v="NA"/>
    <s v="NA"/>
    <n v="60000"/>
    <s v="Cash"/>
    <x v="1"/>
  </r>
  <r>
    <s v="T10084"/>
    <x v="73"/>
    <s v="C1048"/>
    <x v="3"/>
    <x v="1"/>
    <x v="2"/>
    <x v="5"/>
    <n v="15000"/>
    <n v="12000"/>
    <n v="3000"/>
    <n v="48000"/>
    <n v="60000"/>
    <s v="Pos"/>
    <x v="0"/>
  </r>
  <r>
    <s v="T10085"/>
    <x v="74"/>
    <s v="C1017"/>
    <x v="1"/>
    <x v="0"/>
    <x v="4"/>
    <x v="2"/>
    <n v="12000"/>
    <n v="12000"/>
    <n v="0"/>
    <n v="60000"/>
    <n v="60000"/>
    <s v="Transfer"/>
    <x v="3"/>
  </r>
  <r>
    <s v="T10086"/>
    <x v="75"/>
    <s v="C1020"/>
    <x v="0"/>
    <x v="0"/>
    <x v="4"/>
    <x v="3"/>
    <n v="10000"/>
    <n v="10000"/>
    <n v="0"/>
    <n v="20000"/>
    <n v="20000"/>
    <s v="Pos"/>
    <x v="3"/>
  </r>
  <r>
    <s v="T10087"/>
    <x v="76"/>
    <s v="C1045"/>
    <x v="0"/>
    <x v="1"/>
    <x v="1"/>
    <x v="3"/>
    <n v="10000"/>
    <n v="12000"/>
    <n v="-2000"/>
    <n v="24000"/>
    <n v="20000"/>
    <s v="Transfer"/>
    <x v="2"/>
  </r>
  <r>
    <s v="T10088"/>
    <x v="38"/>
    <s v="C1026"/>
    <x v="0"/>
    <x v="4"/>
    <x v="3"/>
    <x v="0"/>
    <n v="10000"/>
    <s v="NA"/>
    <s v="NA"/>
    <s v="NA"/>
    <n v="30000"/>
    <s v="Cash"/>
    <x v="1"/>
  </r>
  <r>
    <s v="T10089"/>
    <x v="77"/>
    <s v="C1054"/>
    <x v="2"/>
    <x v="1"/>
    <x v="3"/>
    <x v="5"/>
    <n v="9200"/>
    <s v="NA"/>
    <s v="NA"/>
    <s v="NA"/>
    <n v="36800"/>
    <s v="Cash"/>
    <x v="1"/>
  </r>
  <r>
    <s v="T10090"/>
    <x v="78"/>
    <s v="C1054"/>
    <x v="3"/>
    <x v="4"/>
    <x v="2"/>
    <x v="0"/>
    <n v="15000"/>
    <n v="10000"/>
    <n v="5000"/>
    <n v="30000"/>
    <n v="45000"/>
    <s v="Cash"/>
    <x v="0"/>
  </r>
  <r>
    <s v="T10091"/>
    <x v="79"/>
    <s v="C1031"/>
    <x v="4"/>
    <x v="0"/>
    <x v="2"/>
    <x v="2"/>
    <n v="13000"/>
    <s v="NA"/>
    <s v="NA"/>
    <s v="NA"/>
    <n v="65000"/>
    <s v="Transfer"/>
    <x v="1"/>
  </r>
  <r>
    <s v="T10092"/>
    <x v="80"/>
    <s v="C1042"/>
    <x v="1"/>
    <x v="4"/>
    <x v="3"/>
    <x v="1"/>
    <n v="12000"/>
    <n v="12000"/>
    <n v="0"/>
    <n v="12000"/>
    <n v="12000"/>
    <s v="Pos"/>
    <x v="3"/>
  </r>
  <r>
    <s v="T10093"/>
    <x v="60"/>
    <s v="C1039"/>
    <x v="1"/>
    <x v="4"/>
    <x v="2"/>
    <x v="3"/>
    <n v="12000"/>
    <n v="12000"/>
    <n v="0"/>
    <n v="24000"/>
    <n v="24000"/>
    <s v="Transfer"/>
    <x v="3"/>
  </r>
  <r>
    <s v="T10094"/>
    <x v="81"/>
    <s v="C1041"/>
    <x v="0"/>
    <x v="4"/>
    <x v="0"/>
    <x v="2"/>
    <n v="10000"/>
    <n v="8500"/>
    <n v="1500"/>
    <n v="42500"/>
    <n v="50000"/>
    <s v="Cash"/>
    <x v="0"/>
  </r>
  <r>
    <s v="T10095"/>
    <x v="82"/>
    <s v="C1024"/>
    <x v="2"/>
    <x v="1"/>
    <x v="3"/>
    <x v="3"/>
    <n v="9200"/>
    <n v="8500"/>
    <n v="700"/>
    <n v="17000"/>
    <n v="18400"/>
    <s v="Pos"/>
    <x v="0"/>
  </r>
  <r>
    <s v="T10096"/>
    <x v="83"/>
    <s v="C1048"/>
    <x v="2"/>
    <x v="4"/>
    <x v="4"/>
    <x v="0"/>
    <n v="9200"/>
    <n v="12000"/>
    <n v="-2800"/>
    <n v="36000"/>
    <n v="27600"/>
    <s v="Pos"/>
    <x v="2"/>
  </r>
  <r>
    <s v="T10097"/>
    <x v="66"/>
    <s v="C1003"/>
    <x v="1"/>
    <x v="1"/>
    <x v="2"/>
    <x v="5"/>
    <n v="12000"/>
    <n v="8500"/>
    <n v="3500"/>
    <n v="34000"/>
    <n v="48000"/>
    <s v="Transfer"/>
    <x v="0"/>
  </r>
  <r>
    <s v="T10098"/>
    <x v="84"/>
    <s v="C1015"/>
    <x v="2"/>
    <x v="0"/>
    <x v="2"/>
    <x v="4"/>
    <n v="9200"/>
    <n v="8500"/>
    <n v="700"/>
    <s v="NA"/>
    <s v="NA"/>
    <s v="Cash"/>
    <x v="0"/>
  </r>
  <r>
    <s v="T10099"/>
    <x v="85"/>
    <s v="C1030"/>
    <x v="1"/>
    <x v="0"/>
    <x v="0"/>
    <x v="3"/>
    <n v="12000"/>
    <n v="9200"/>
    <n v="2800"/>
    <n v="18400"/>
    <n v="24000"/>
    <s v="Transfer"/>
    <x v="0"/>
  </r>
  <r>
    <s v="T10100"/>
    <x v="86"/>
    <s v="C1010"/>
    <x v="0"/>
    <x v="3"/>
    <x v="1"/>
    <x v="5"/>
    <n v="10000"/>
    <n v="10000"/>
    <n v="0"/>
    <n v="40000"/>
    <n v="40000"/>
    <s v="Pos"/>
    <x v="3"/>
  </r>
  <r>
    <s v="T10101"/>
    <x v="87"/>
    <s v="C1006"/>
    <x v="4"/>
    <x v="0"/>
    <x v="2"/>
    <x v="1"/>
    <n v="13000"/>
    <n v="9200"/>
    <n v="3800"/>
    <n v="9200"/>
    <n v="13000"/>
    <s v="Pos"/>
    <x v="0"/>
  </r>
  <r>
    <s v="T10102"/>
    <x v="68"/>
    <s v="C1045"/>
    <x v="0"/>
    <x v="2"/>
    <x v="0"/>
    <x v="4"/>
    <n v="10000"/>
    <n v="12000"/>
    <n v="-2000"/>
    <s v="NA"/>
    <s v="NA"/>
    <s v="Cash"/>
    <x v="2"/>
  </r>
  <r>
    <s v="T10103"/>
    <x v="3"/>
    <s v="C1044"/>
    <x v="0"/>
    <x v="3"/>
    <x v="2"/>
    <x v="4"/>
    <n v="10000"/>
    <n v="9200"/>
    <n v="800"/>
    <s v="NA"/>
    <s v="NA"/>
    <s v="Cash"/>
    <x v="0"/>
  </r>
  <r>
    <s v="T10104"/>
    <x v="67"/>
    <s v="C1022"/>
    <x v="1"/>
    <x v="0"/>
    <x v="0"/>
    <x v="1"/>
    <n v="12000"/>
    <s v="NA"/>
    <s v="NA"/>
    <s v="NA"/>
    <n v="12000"/>
    <s v="Cash"/>
    <x v="1"/>
  </r>
  <r>
    <s v="T10105"/>
    <x v="25"/>
    <s v="C1000"/>
    <x v="3"/>
    <x v="0"/>
    <x v="4"/>
    <x v="1"/>
    <n v="15000"/>
    <s v="NA"/>
    <s v="NA"/>
    <s v="NA"/>
    <n v="15000"/>
    <s v="Pos"/>
    <x v="1"/>
  </r>
  <r>
    <s v="T10106"/>
    <x v="66"/>
    <s v="C1045"/>
    <x v="1"/>
    <x v="4"/>
    <x v="2"/>
    <x v="5"/>
    <n v="12000"/>
    <n v="10000"/>
    <n v="2000"/>
    <n v="40000"/>
    <n v="48000"/>
    <s v="Cash"/>
    <x v="0"/>
  </r>
  <r>
    <s v="T10107"/>
    <x v="22"/>
    <s v="C1051"/>
    <x v="3"/>
    <x v="1"/>
    <x v="2"/>
    <x v="2"/>
    <n v="15000"/>
    <n v="10000"/>
    <n v="5000"/>
    <n v="50000"/>
    <n v="75000"/>
    <s v="Transfer"/>
    <x v="0"/>
  </r>
  <r>
    <s v="T10108"/>
    <x v="88"/>
    <s v="C1020"/>
    <x v="1"/>
    <x v="4"/>
    <x v="3"/>
    <x v="5"/>
    <n v="12000"/>
    <s v="NA"/>
    <s v="NA"/>
    <s v="NA"/>
    <n v="48000"/>
    <s v="Pos"/>
    <x v="1"/>
  </r>
  <r>
    <s v="T10109"/>
    <x v="89"/>
    <s v="C1036"/>
    <x v="1"/>
    <x v="0"/>
    <x v="4"/>
    <x v="5"/>
    <n v="12000"/>
    <n v="9200"/>
    <n v="2800"/>
    <n v="36800"/>
    <n v="48000"/>
    <s v="Cash"/>
    <x v="0"/>
  </r>
  <r>
    <s v="T10110"/>
    <x v="90"/>
    <s v="C1011"/>
    <x v="0"/>
    <x v="4"/>
    <x v="4"/>
    <x v="1"/>
    <n v="10000"/>
    <n v="12000"/>
    <n v="-2000"/>
    <n v="12000"/>
    <n v="10000"/>
    <s v="Pos"/>
    <x v="2"/>
  </r>
  <r>
    <s v="T10111"/>
    <x v="39"/>
    <s v="C1044"/>
    <x v="2"/>
    <x v="2"/>
    <x v="4"/>
    <x v="0"/>
    <n v="9200"/>
    <n v="10000"/>
    <n v="-800"/>
    <n v="30000"/>
    <n v="27600"/>
    <s v="Transfer"/>
    <x v="2"/>
  </r>
  <r>
    <s v="T10112"/>
    <x v="91"/>
    <s v="C1046"/>
    <x v="4"/>
    <x v="0"/>
    <x v="0"/>
    <x v="3"/>
    <n v="13000"/>
    <n v="8500"/>
    <n v="4500"/>
    <n v="17000"/>
    <n v="26000"/>
    <s v="Transfer"/>
    <x v="0"/>
  </r>
  <r>
    <s v="T10113"/>
    <x v="92"/>
    <s v="C1028"/>
    <x v="3"/>
    <x v="3"/>
    <x v="1"/>
    <x v="4"/>
    <n v="15000"/>
    <n v="12000"/>
    <n v="3000"/>
    <s v="NA"/>
    <s v="NA"/>
    <s v="Cash"/>
    <x v="0"/>
  </r>
  <r>
    <s v="T10114"/>
    <x v="93"/>
    <s v="C1042"/>
    <x v="0"/>
    <x v="2"/>
    <x v="1"/>
    <x v="5"/>
    <n v="10000"/>
    <n v="9200"/>
    <n v="800"/>
    <n v="36800"/>
    <n v="40000"/>
    <s v="Pos"/>
    <x v="0"/>
  </r>
  <r>
    <s v="T10115"/>
    <x v="61"/>
    <s v="C1047"/>
    <x v="1"/>
    <x v="4"/>
    <x v="0"/>
    <x v="2"/>
    <n v="12000"/>
    <n v="10000"/>
    <n v="2000"/>
    <n v="50000"/>
    <n v="60000"/>
    <s v="Cash"/>
    <x v="0"/>
  </r>
  <r>
    <s v="T10116"/>
    <x v="94"/>
    <s v="C1016"/>
    <x v="1"/>
    <x v="2"/>
    <x v="2"/>
    <x v="5"/>
    <n v="12000"/>
    <n v="10000"/>
    <n v="2000"/>
    <n v="40000"/>
    <n v="48000"/>
    <s v="Pos"/>
    <x v="0"/>
  </r>
  <r>
    <s v="T10117"/>
    <x v="95"/>
    <s v="C1048"/>
    <x v="0"/>
    <x v="0"/>
    <x v="1"/>
    <x v="0"/>
    <n v="10000"/>
    <n v="8500"/>
    <n v="1500"/>
    <n v="25500"/>
    <n v="30000"/>
    <s v="Transfer"/>
    <x v="0"/>
  </r>
  <r>
    <s v="T10118"/>
    <x v="27"/>
    <s v="C1046"/>
    <x v="2"/>
    <x v="1"/>
    <x v="1"/>
    <x v="4"/>
    <n v="9200"/>
    <n v="12000"/>
    <n v="-2800"/>
    <s v="NA"/>
    <s v="NA"/>
    <s v="Pos"/>
    <x v="2"/>
  </r>
  <r>
    <s v="T10119"/>
    <x v="4"/>
    <s v="C1018"/>
    <x v="1"/>
    <x v="3"/>
    <x v="0"/>
    <x v="0"/>
    <n v="12000"/>
    <n v="8500"/>
    <n v="3500"/>
    <n v="25500"/>
    <n v="36000"/>
    <s v="Transfer"/>
    <x v="0"/>
  </r>
  <r>
    <s v="T10120"/>
    <x v="96"/>
    <s v="C1017"/>
    <x v="1"/>
    <x v="1"/>
    <x v="4"/>
    <x v="1"/>
    <n v="12000"/>
    <s v="NA"/>
    <s v="NA"/>
    <s v="NA"/>
    <n v="12000"/>
    <s v="Transfer"/>
    <x v="1"/>
  </r>
  <r>
    <s v="T10121"/>
    <x v="97"/>
    <s v="C1006"/>
    <x v="0"/>
    <x v="3"/>
    <x v="4"/>
    <x v="4"/>
    <n v="10000"/>
    <n v="9200"/>
    <n v="800"/>
    <s v="NA"/>
    <s v="NA"/>
    <s v="Cash"/>
    <x v="0"/>
  </r>
  <r>
    <s v="T10122"/>
    <x v="98"/>
    <s v="C1011"/>
    <x v="4"/>
    <x v="2"/>
    <x v="3"/>
    <x v="5"/>
    <n v="13000"/>
    <n v="12000"/>
    <n v="1000"/>
    <n v="48000"/>
    <n v="52000"/>
    <s v="Pos"/>
    <x v="0"/>
  </r>
  <r>
    <s v="T10123"/>
    <x v="99"/>
    <s v="C1031"/>
    <x v="1"/>
    <x v="1"/>
    <x v="3"/>
    <x v="1"/>
    <n v="12000"/>
    <n v="8500"/>
    <n v="3500"/>
    <n v="8500"/>
    <n v="12000"/>
    <s v="Cash"/>
    <x v="0"/>
  </r>
  <r>
    <s v="T10124"/>
    <x v="46"/>
    <s v="C1051"/>
    <x v="4"/>
    <x v="0"/>
    <x v="2"/>
    <x v="1"/>
    <n v="13000"/>
    <n v="9200"/>
    <n v="3800"/>
    <n v="9200"/>
    <n v="13000"/>
    <s v="Transfer"/>
    <x v="0"/>
  </r>
  <r>
    <s v="T10125"/>
    <x v="100"/>
    <s v="C1038"/>
    <x v="1"/>
    <x v="0"/>
    <x v="1"/>
    <x v="1"/>
    <n v="12000"/>
    <s v="NA"/>
    <s v="NA"/>
    <s v="NA"/>
    <n v="12000"/>
    <s v="Cash"/>
    <x v="1"/>
  </r>
  <r>
    <s v="T10126"/>
    <x v="18"/>
    <s v="C1058"/>
    <x v="1"/>
    <x v="3"/>
    <x v="1"/>
    <x v="2"/>
    <n v="12000"/>
    <n v="12000"/>
    <n v="0"/>
    <n v="60000"/>
    <n v="60000"/>
    <s v="Cash"/>
    <x v="3"/>
  </r>
  <r>
    <s v="T10127"/>
    <x v="53"/>
    <s v="C1039"/>
    <x v="1"/>
    <x v="1"/>
    <x v="0"/>
    <x v="5"/>
    <n v="12000"/>
    <n v="10000"/>
    <n v="2000"/>
    <n v="40000"/>
    <n v="48000"/>
    <s v="Transfer"/>
    <x v="0"/>
  </r>
  <r>
    <s v="T10128"/>
    <x v="101"/>
    <s v="C1042"/>
    <x v="4"/>
    <x v="0"/>
    <x v="2"/>
    <x v="3"/>
    <n v="13000"/>
    <n v="9200"/>
    <n v="3800"/>
    <n v="18400"/>
    <n v="26000"/>
    <s v="Pos"/>
    <x v="0"/>
  </r>
  <r>
    <s v="T10129"/>
    <x v="102"/>
    <s v="C1000"/>
    <x v="2"/>
    <x v="1"/>
    <x v="1"/>
    <x v="2"/>
    <n v="9200"/>
    <n v="8500"/>
    <n v="700"/>
    <n v="42500"/>
    <n v="46000"/>
    <s v="Transfer"/>
    <x v="0"/>
  </r>
  <r>
    <s v="T10130"/>
    <x v="65"/>
    <s v="C1014"/>
    <x v="3"/>
    <x v="0"/>
    <x v="0"/>
    <x v="5"/>
    <n v="15000"/>
    <n v="10000"/>
    <n v="5000"/>
    <n v="40000"/>
    <n v="60000"/>
    <s v="Cash"/>
    <x v="0"/>
  </r>
  <r>
    <s v="T10131"/>
    <x v="103"/>
    <s v="C1059"/>
    <x v="0"/>
    <x v="2"/>
    <x v="2"/>
    <x v="5"/>
    <n v="10000"/>
    <n v="8500"/>
    <n v="1500"/>
    <n v="34000"/>
    <n v="40000"/>
    <s v="Transfer"/>
    <x v="0"/>
  </r>
  <r>
    <s v="T10132"/>
    <x v="26"/>
    <s v="C1007"/>
    <x v="1"/>
    <x v="1"/>
    <x v="2"/>
    <x v="2"/>
    <n v="12000"/>
    <n v="9200"/>
    <n v="2800"/>
    <n v="46000"/>
    <n v="60000"/>
    <s v="Cash"/>
    <x v="0"/>
  </r>
  <r>
    <s v="T10133"/>
    <x v="104"/>
    <s v="C1003"/>
    <x v="2"/>
    <x v="0"/>
    <x v="1"/>
    <x v="0"/>
    <n v="9200"/>
    <n v="9200"/>
    <n v="0"/>
    <n v="27600"/>
    <n v="27600"/>
    <s v="Cash"/>
    <x v="3"/>
  </r>
  <r>
    <s v="T10134"/>
    <x v="105"/>
    <s v="C1028"/>
    <x v="1"/>
    <x v="2"/>
    <x v="0"/>
    <x v="4"/>
    <n v="12000"/>
    <s v="NA"/>
    <s v="NA"/>
    <s v="NA"/>
    <s v="NA"/>
    <s v="Pos"/>
    <x v="1"/>
  </r>
  <r>
    <s v="T10135"/>
    <x v="7"/>
    <s v="C1032"/>
    <x v="3"/>
    <x v="0"/>
    <x v="4"/>
    <x v="4"/>
    <n v="15000"/>
    <n v="12000"/>
    <n v="3000"/>
    <s v="NA"/>
    <s v="NA"/>
    <s v="Pos"/>
    <x v="0"/>
  </r>
  <r>
    <s v="T10136"/>
    <x v="76"/>
    <s v="C1047"/>
    <x v="3"/>
    <x v="4"/>
    <x v="2"/>
    <x v="2"/>
    <n v="15000"/>
    <n v="8500"/>
    <n v="6500"/>
    <n v="42500"/>
    <n v="75000"/>
    <s v="Cash"/>
    <x v="0"/>
  </r>
  <r>
    <s v="T10137"/>
    <x v="23"/>
    <s v="C1037"/>
    <x v="4"/>
    <x v="2"/>
    <x v="2"/>
    <x v="1"/>
    <n v="13000"/>
    <n v="9200"/>
    <n v="3800"/>
    <n v="9200"/>
    <n v="13000"/>
    <s v="Transfer"/>
    <x v="0"/>
  </r>
  <r>
    <s v="T10138"/>
    <x v="106"/>
    <s v="C1030"/>
    <x v="1"/>
    <x v="0"/>
    <x v="4"/>
    <x v="2"/>
    <n v="12000"/>
    <n v="8500"/>
    <n v="3500"/>
    <n v="42500"/>
    <n v="60000"/>
    <s v="Transfer"/>
    <x v="0"/>
  </r>
  <r>
    <s v="T10139"/>
    <x v="107"/>
    <s v="C1040"/>
    <x v="0"/>
    <x v="4"/>
    <x v="4"/>
    <x v="3"/>
    <n v="10000"/>
    <s v="NA"/>
    <s v="NA"/>
    <s v="NA"/>
    <n v="20000"/>
    <s v="Cash"/>
    <x v="1"/>
  </r>
  <r>
    <s v="T10140"/>
    <x v="108"/>
    <s v="C1042"/>
    <x v="0"/>
    <x v="4"/>
    <x v="4"/>
    <x v="5"/>
    <n v="10000"/>
    <n v="10000"/>
    <n v="0"/>
    <n v="40000"/>
    <n v="40000"/>
    <s v="Pos"/>
    <x v="3"/>
  </r>
  <r>
    <s v="T10141"/>
    <x v="109"/>
    <s v="C1042"/>
    <x v="1"/>
    <x v="1"/>
    <x v="4"/>
    <x v="5"/>
    <n v="12000"/>
    <n v="12000"/>
    <n v="0"/>
    <n v="48000"/>
    <n v="48000"/>
    <s v="Pos"/>
    <x v="3"/>
  </r>
  <r>
    <s v="T10142"/>
    <x v="110"/>
    <s v="C1020"/>
    <x v="1"/>
    <x v="1"/>
    <x v="0"/>
    <x v="1"/>
    <n v="12000"/>
    <n v="12000"/>
    <n v="0"/>
    <n v="12000"/>
    <n v="12000"/>
    <s v="Cash"/>
    <x v="3"/>
  </r>
  <r>
    <s v="T10143"/>
    <x v="111"/>
    <s v="C1029"/>
    <x v="1"/>
    <x v="0"/>
    <x v="3"/>
    <x v="2"/>
    <n v="12000"/>
    <n v="8500"/>
    <n v="3500"/>
    <n v="42500"/>
    <n v="60000"/>
    <s v="Transfer"/>
    <x v="0"/>
  </r>
  <r>
    <s v="T10144"/>
    <x v="112"/>
    <s v="C1040"/>
    <x v="0"/>
    <x v="1"/>
    <x v="0"/>
    <x v="0"/>
    <n v="10000"/>
    <s v="NA"/>
    <s v="NA"/>
    <s v="NA"/>
    <n v="30000"/>
    <s v="Cash"/>
    <x v="1"/>
  </r>
  <r>
    <s v="T10145"/>
    <x v="53"/>
    <s v="C1059"/>
    <x v="1"/>
    <x v="0"/>
    <x v="1"/>
    <x v="0"/>
    <n v="12000"/>
    <s v="NA"/>
    <s v="NA"/>
    <s v="NA"/>
    <n v="36000"/>
    <s v="Transfer"/>
    <x v="1"/>
  </r>
  <r>
    <s v="T10146"/>
    <x v="103"/>
    <s v="C1051"/>
    <x v="3"/>
    <x v="0"/>
    <x v="3"/>
    <x v="1"/>
    <n v="15000"/>
    <n v="8500"/>
    <n v="6500"/>
    <n v="8500"/>
    <n v="15000"/>
    <s v="Transfer"/>
    <x v="0"/>
  </r>
  <r>
    <s v="T10147"/>
    <x v="113"/>
    <s v="C1026"/>
    <x v="0"/>
    <x v="1"/>
    <x v="4"/>
    <x v="2"/>
    <n v="10000"/>
    <n v="8500"/>
    <n v="1500"/>
    <n v="42500"/>
    <n v="50000"/>
    <s v="Transfer"/>
    <x v="0"/>
  </r>
  <r>
    <s v="T10148"/>
    <x v="114"/>
    <s v="C1031"/>
    <x v="2"/>
    <x v="1"/>
    <x v="2"/>
    <x v="5"/>
    <n v="9200"/>
    <n v="8500"/>
    <n v="700"/>
    <n v="34000"/>
    <n v="36800"/>
    <s v="Transfer"/>
    <x v="0"/>
  </r>
  <r>
    <s v="T10149"/>
    <x v="115"/>
    <s v="C1015"/>
    <x v="4"/>
    <x v="0"/>
    <x v="4"/>
    <x v="5"/>
    <n v="13000"/>
    <n v="12000"/>
    <n v="1000"/>
    <n v="48000"/>
    <n v="52000"/>
    <s v="Cash"/>
    <x v="0"/>
  </r>
  <r>
    <s v="T10150"/>
    <x v="116"/>
    <s v="C1047"/>
    <x v="4"/>
    <x v="1"/>
    <x v="3"/>
    <x v="3"/>
    <n v="13000"/>
    <s v="NA"/>
    <s v="NA"/>
    <s v="NA"/>
    <n v="26000"/>
    <s v="Transfer"/>
    <x v="1"/>
  </r>
  <r>
    <s v="T10151"/>
    <x v="117"/>
    <s v="C1017"/>
    <x v="1"/>
    <x v="0"/>
    <x v="4"/>
    <x v="5"/>
    <n v="12000"/>
    <n v="10000"/>
    <n v="2000"/>
    <n v="40000"/>
    <n v="48000"/>
    <s v="Transfer"/>
    <x v="0"/>
  </r>
  <r>
    <s v="T10152"/>
    <x v="52"/>
    <s v="C1055"/>
    <x v="1"/>
    <x v="0"/>
    <x v="4"/>
    <x v="2"/>
    <n v="12000"/>
    <s v="NA"/>
    <s v="NA"/>
    <s v="NA"/>
    <n v="60000"/>
    <s v="Cash"/>
    <x v="1"/>
  </r>
  <r>
    <s v="T10153"/>
    <x v="118"/>
    <s v="C1048"/>
    <x v="3"/>
    <x v="3"/>
    <x v="3"/>
    <x v="0"/>
    <n v="15000"/>
    <n v="10000"/>
    <n v="5000"/>
    <n v="30000"/>
    <n v="45000"/>
    <s v="Transfer"/>
    <x v="0"/>
  </r>
  <r>
    <s v="T10154"/>
    <x v="104"/>
    <s v="C1024"/>
    <x v="3"/>
    <x v="4"/>
    <x v="4"/>
    <x v="3"/>
    <n v="15000"/>
    <n v="9200"/>
    <n v="5800"/>
    <n v="18400"/>
    <n v="30000"/>
    <s v="Transfer"/>
    <x v="0"/>
  </r>
  <r>
    <s v="T10155"/>
    <x v="9"/>
    <s v="C1045"/>
    <x v="1"/>
    <x v="1"/>
    <x v="3"/>
    <x v="1"/>
    <n v="12000"/>
    <n v="10000"/>
    <n v="2000"/>
    <n v="10000"/>
    <n v="12000"/>
    <s v="Cash"/>
    <x v="0"/>
  </r>
  <r>
    <s v="T10156"/>
    <x v="119"/>
    <s v="C1008"/>
    <x v="3"/>
    <x v="0"/>
    <x v="2"/>
    <x v="3"/>
    <n v="15000"/>
    <n v="12000"/>
    <n v="3000"/>
    <n v="24000"/>
    <n v="30000"/>
    <s v="Cash"/>
    <x v="0"/>
  </r>
  <r>
    <s v="T10157"/>
    <x v="41"/>
    <s v="C1058"/>
    <x v="4"/>
    <x v="2"/>
    <x v="2"/>
    <x v="5"/>
    <n v="13000"/>
    <n v="8500"/>
    <n v="4500"/>
    <n v="34000"/>
    <n v="52000"/>
    <s v="Transfer"/>
    <x v="0"/>
  </r>
  <r>
    <s v="T10158"/>
    <x v="116"/>
    <s v="C1030"/>
    <x v="0"/>
    <x v="0"/>
    <x v="1"/>
    <x v="5"/>
    <n v="10000"/>
    <n v="9200"/>
    <n v="800"/>
    <n v="36800"/>
    <n v="40000"/>
    <s v="Cash"/>
    <x v="0"/>
  </r>
  <r>
    <s v="T10159"/>
    <x v="26"/>
    <s v="C1054"/>
    <x v="1"/>
    <x v="3"/>
    <x v="2"/>
    <x v="5"/>
    <n v="12000"/>
    <n v="8500"/>
    <n v="3500"/>
    <n v="34000"/>
    <n v="48000"/>
    <s v="Pos"/>
    <x v="0"/>
  </r>
  <r>
    <s v="T10160"/>
    <x v="120"/>
    <s v="C1002"/>
    <x v="1"/>
    <x v="3"/>
    <x v="3"/>
    <x v="0"/>
    <n v="12000"/>
    <n v="12000"/>
    <n v="0"/>
    <n v="36000"/>
    <n v="36000"/>
    <s v="Transfer"/>
    <x v="3"/>
  </r>
  <r>
    <s v="T10161"/>
    <x v="121"/>
    <s v="C1047"/>
    <x v="0"/>
    <x v="1"/>
    <x v="2"/>
    <x v="4"/>
    <n v="10000"/>
    <n v="10000"/>
    <n v="0"/>
    <s v="NA"/>
    <s v="NA"/>
    <s v="Transfer"/>
    <x v="3"/>
  </r>
  <r>
    <s v="T10162"/>
    <x v="122"/>
    <s v="C1010"/>
    <x v="3"/>
    <x v="0"/>
    <x v="2"/>
    <x v="4"/>
    <n v="15000"/>
    <n v="8500"/>
    <n v="6500"/>
    <s v="NA"/>
    <s v="NA"/>
    <s v="Cash"/>
    <x v="0"/>
  </r>
  <r>
    <s v="T10163"/>
    <x v="123"/>
    <s v="C1022"/>
    <x v="1"/>
    <x v="0"/>
    <x v="2"/>
    <x v="0"/>
    <n v="12000"/>
    <n v="8500"/>
    <n v="3500"/>
    <n v="25500"/>
    <n v="36000"/>
    <s v="Pos"/>
    <x v="0"/>
  </r>
  <r>
    <s v="T10164"/>
    <x v="124"/>
    <s v="C1043"/>
    <x v="3"/>
    <x v="1"/>
    <x v="1"/>
    <x v="2"/>
    <n v="15000"/>
    <n v="12000"/>
    <n v="3000"/>
    <n v="60000"/>
    <n v="75000"/>
    <s v="Transfer"/>
    <x v="0"/>
  </r>
  <r>
    <s v="T10165"/>
    <x v="125"/>
    <s v="C1043"/>
    <x v="2"/>
    <x v="1"/>
    <x v="2"/>
    <x v="2"/>
    <n v="9200"/>
    <n v="12000"/>
    <n v="-2800"/>
    <n v="60000"/>
    <n v="46000"/>
    <s v="Transfer"/>
    <x v="2"/>
  </r>
  <r>
    <s v="T10166"/>
    <x v="24"/>
    <s v="C1029"/>
    <x v="3"/>
    <x v="3"/>
    <x v="1"/>
    <x v="3"/>
    <n v="15000"/>
    <n v="12000"/>
    <n v="3000"/>
    <n v="24000"/>
    <n v="30000"/>
    <s v="Pos"/>
    <x v="0"/>
  </r>
  <r>
    <s v="T10167"/>
    <x v="62"/>
    <s v="C1004"/>
    <x v="0"/>
    <x v="0"/>
    <x v="3"/>
    <x v="0"/>
    <n v="10000"/>
    <s v="NA"/>
    <s v="NA"/>
    <s v="NA"/>
    <n v="30000"/>
    <s v="Transfer"/>
    <x v="1"/>
  </r>
  <r>
    <s v="T10168"/>
    <x v="53"/>
    <s v="C1029"/>
    <x v="1"/>
    <x v="3"/>
    <x v="4"/>
    <x v="4"/>
    <n v="12000"/>
    <n v="12000"/>
    <n v="0"/>
    <s v="NA"/>
    <s v="NA"/>
    <s v="Pos"/>
    <x v="3"/>
  </r>
  <r>
    <s v="T10169"/>
    <x v="67"/>
    <s v="C1036"/>
    <x v="2"/>
    <x v="4"/>
    <x v="3"/>
    <x v="1"/>
    <n v="9200"/>
    <n v="9200"/>
    <n v="0"/>
    <n v="9200"/>
    <n v="9200"/>
    <s v="Cash"/>
    <x v="3"/>
  </r>
  <r>
    <s v="T10170"/>
    <x v="6"/>
    <s v="C1017"/>
    <x v="4"/>
    <x v="2"/>
    <x v="2"/>
    <x v="0"/>
    <n v="13000"/>
    <n v="8500"/>
    <n v="4500"/>
    <n v="25500"/>
    <n v="39000"/>
    <s v="Cash"/>
    <x v="0"/>
  </r>
  <r>
    <s v="T10171"/>
    <x v="126"/>
    <s v="C1047"/>
    <x v="4"/>
    <x v="1"/>
    <x v="2"/>
    <x v="4"/>
    <n v="13000"/>
    <n v="8500"/>
    <n v="4500"/>
    <s v="NA"/>
    <s v="NA"/>
    <s v="Transfer"/>
    <x v="0"/>
  </r>
  <r>
    <s v="T10172"/>
    <x v="127"/>
    <s v="C1040"/>
    <x v="1"/>
    <x v="2"/>
    <x v="1"/>
    <x v="2"/>
    <n v="12000"/>
    <n v="10000"/>
    <n v="2000"/>
    <n v="50000"/>
    <n v="60000"/>
    <s v="Transfer"/>
    <x v="0"/>
  </r>
  <r>
    <s v="T10173"/>
    <x v="128"/>
    <s v="C1057"/>
    <x v="4"/>
    <x v="2"/>
    <x v="2"/>
    <x v="4"/>
    <n v="13000"/>
    <n v="9200"/>
    <n v="3800"/>
    <s v="NA"/>
    <s v="NA"/>
    <s v="Cash"/>
    <x v="0"/>
  </r>
  <r>
    <s v="T10174"/>
    <x v="129"/>
    <s v="C1023"/>
    <x v="0"/>
    <x v="0"/>
    <x v="4"/>
    <x v="5"/>
    <n v="10000"/>
    <n v="8500"/>
    <n v="1500"/>
    <n v="34000"/>
    <n v="40000"/>
    <s v="Transfer"/>
    <x v="0"/>
  </r>
  <r>
    <s v="T10175"/>
    <x v="130"/>
    <s v="C1012"/>
    <x v="0"/>
    <x v="2"/>
    <x v="4"/>
    <x v="4"/>
    <n v="10000"/>
    <n v="12000"/>
    <n v="-2000"/>
    <s v="NA"/>
    <s v="NA"/>
    <s v="Transfer"/>
    <x v="2"/>
  </r>
  <r>
    <s v="T10176"/>
    <x v="130"/>
    <s v="C1053"/>
    <x v="1"/>
    <x v="3"/>
    <x v="4"/>
    <x v="2"/>
    <n v="12000"/>
    <s v="NA"/>
    <s v="NA"/>
    <s v="NA"/>
    <n v="60000"/>
    <s v="Pos"/>
    <x v="1"/>
  </r>
  <r>
    <s v="T10177"/>
    <x v="105"/>
    <s v="C1029"/>
    <x v="1"/>
    <x v="1"/>
    <x v="3"/>
    <x v="0"/>
    <n v="12000"/>
    <n v="10000"/>
    <n v="2000"/>
    <n v="30000"/>
    <n v="36000"/>
    <s v="Cash"/>
    <x v="0"/>
  </r>
  <r>
    <s v="T10178"/>
    <x v="36"/>
    <s v="C1023"/>
    <x v="2"/>
    <x v="1"/>
    <x v="1"/>
    <x v="4"/>
    <n v="9200"/>
    <n v="12000"/>
    <n v="-2800"/>
    <s v="NA"/>
    <s v="NA"/>
    <s v="Transfer"/>
    <x v="2"/>
  </r>
  <r>
    <s v="T10179"/>
    <x v="122"/>
    <s v="C1029"/>
    <x v="1"/>
    <x v="4"/>
    <x v="2"/>
    <x v="0"/>
    <n v="12000"/>
    <s v="NA"/>
    <s v="NA"/>
    <s v="NA"/>
    <n v="36000"/>
    <s v="Cash"/>
    <x v="1"/>
  </r>
  <r>
    <s v="T10180"/>
    <x v="131"/>
    <s v="C1052"/>
    <x v="0"/>
    <x v="0"/>
    <x v="2"/>
    <x v="0"/>
    <n v="10000"/>
    <s v="NA"/>
    <s v="NA"/>
    <s v="NA"/>
    <n v="30000"/>
    <s v="Cash"/>
    <x v="1"/>
  </r>
  <r>
    <s v="T10181"/>
    <x v="132"/>
    <s v="C1039"/>
    <x v="1"/>
    <x v="0"/>
    <x v="2"/>
    <x v="3"/>
    <n v="12000"/>
    <n v="12000"/>
    <n v="0"/>
    <n v="24000"/>
    <n v="24000"/>
    <s v="Cash"/>
    <x v="3"/>
  </r>
  <r>
    <s v="T10182"/>
    <x v="133"/>
    <s v="C1058"/>
    <x v="1"/>
    <x v="3"/>
    <x v="1"/>
    <x v="4"/>
    <n v="12000"/>
    <n v="8500"/>
    <n v="3500"/>
    <s v="NA"/>
    <s v="NA"/>
    <s v="Cash"/>
    <x v="0"/>
  </r>
  <r>
    <s v="T10183"/>
    <x v="134"/>
    <s v="C1002"/>
    <x v="1"/>
    <x v="0"/>
    <x v="3"/>
    <x v="1"/>
    <n v="12000"/>
    <n v="9200"/>
    <n v="2800"/>
    <n v="9200"/>
    <n v="12000"/>
    <s v="Cash"/>
    <x v="0"/>
  </r>
  <r>
    <s v="T10184"/>
    <x v="135"/>
    <s v="C1024"/>
    <x v="3"/>
    <x v="0"/>
    <x v="2"/>
    <x v="3"/>
    <n v="15000"/>
    <s v="NA"/>
    <s v="NA"/>
    <s v="NA"/>
    <n v="30000"/>
    <s v="Transfer"/>
    <x v="1"/>
  </r>
  <r>
    <s v="T10185"/>
    <x v="136"/>
    <s v="C1037"/>
    <x v="1"/>
    <x v="0"/>
    <x v="2"/>
    <x v="4"/>
    <n v="12000"/>
    <s v="NA"/>
    <s v="NA"/>
    <s v="NA"/>
    <s v="NA"/>
    <s v="Cash"/>
    <x v="1"/>
  </r>
  <r>
    <s v="T10186"/>
    <x v="5"/>
    <s v="C1017"/>
    <x v="3"/>
    <x v="0"/>
    <x v="2"/>
    <x v="5"/>
    <n v="15000"/>
    <s v="NA"/>
    <s v="NA"/>
    <s v="NA"/>
    <n v="60000"/>
    <s v="Cash"/>
    <x v="1"/>
  </r>
  <r>
    <s v="T10187"/>
    <x v="12"/>
    <s v="C1054"/>
    <x v="0"/>
    <x v="2"/>
    <x v="1"/>
    <x v="5"/>
    <n v="10000"/>
    <n v="12000"/>
    <n v="-2000"/>
    <n v="48000"/>
    <n v="40000"/>
    <s v="Transfer"/>
    <x v="2"/>
  </r>
  <r>
    <s v="T10188"/>
    <x v="137"/>
    <s v="C1025"/>
    <x v="0"/>
    <x v="0"/>
    <x v="4"/>
    <x v="2"/>
    <n v="10000"/>
    <n v="10000"/>
    <n v="0"/>
    <n v="50000"/>
    <n v="50000"/>
    <s v="Cash"/>
    <x v="3"/>
  </r>
  <r>
    <s v="T10189"/>
    <x v="91"/>
    <s v="C1001"/>
    <x v="2"/>
    <x v="0"/>
    <x v="3"/>
    <x v="1"/>
    <n v="9200"/>
    <n v="9200"/>
    <n v="0"/>
    <n v="9200"/>
    <n v="9200"/>
    <s v="Transfer"/>
    <x v="3"/>
  </r>
  <r>
    <s v="T10190"/>
    <x v="138"/>
    <s v="C1004"/>
    <x v="1"/>
    <x v="2"/>
    <x v="1"/>
    <x v="3"/>
    <n v="12000"/>
    <s v="NA"/>
    <s v="NA"/>
    <s v="NA"/>
    <n v="24000"/>
    <s v="Transfer"/>
    <x v="1"/>
  </r>
  <r>
    <s v="T10191"/>
    <x v="139"/>
    <s v="C1050"/>
    <x v="2"/>
    <x v="3"/>
    <x v="1"/>
    <x v="3"/>
    <n v="9200"/>
    <n v="10000"/>
    <n v="-800"/>
    <n v="20000"/>
    <n v="18400"/>
    <s v="Transfer"/>
    <x v="2"/>
  </r>
  <r>
    <s v="T10192"/>
    <x v="18"/>
    <s v="C1051"/>
    <x v="0"/>
    <x v="2"/>
    <x v="1"/>
    <x v="3"/>
    <n v="10000"/>
    <s v="NA"/>
    <s v="NA"/>
    <s v="NA"/>
    <n v="20000"/>
    <s v="Pos"/>
    <x v="1"/>
  </r>
  <r>
    <s v="T10193"/>
    <x v="140"/>
    <s v="C1050"/>
    <x v="0"/>
    <x v="0"/>
    <x v="2"/>
    <x v="3"/>
    <n v="10000"/>
    <n v="8500"/>
    <n v="1500"/>
    <n v="17000"/>
    <n v="20000"/>
    <s v="Pos"/>
    <x v="0"/>
  </r>
  <r>
    <s v="T10194"/>
    <x v="30"/>
    <s v="C1008"/>
    <x v="4"/>
    <x v="2"/>
    <x v="2"/>
    <x v="3"/>
    <n v="13000"/>
    <n v="10000"/>
    <n v="3000"/>
    <n v="20000"/>
    <n v="26000"/>
    <s v="Cash"/>
    <x v="0"/>
  </r>
  <r>
    <s v="T10195"/>
    <x v="66"/>
    <s v="C1049"/>
    <x v="4"/>
    <x v="0"/>
    <x v="2"/>
    <x v="1"/>
    <n v="13000"/>
    <n v="12000"/>
    <n v="1000"/>
    <n v="12000"/>
    <n v="13000"/>
    <s v="Cash"/>
    <x v="0"/>
  </r>
  <r>
    <s v="T10196"/>
    <x v="137"/>
    <s v="C1039"/>
    <x v="4"/>
    <x v="3"/>
    <x v="2"/>
    <x v="5"/>
    <n v="13000"/>
    <s v="NA"/>
    <s v="NA"/>
    <s v="NA"/>
    <n v="52000"/>
    <s v="Transfer"/>
    <x v="1"/>
  </r>
  <r>
    <s v="T10197"/>
    <x v="141"/>
    <s v="C1041"/>
    <x v="0"/>
    <x v="1"/>
    <x v="2"/>
    <x v="2"/>
    <n v="10000"/>
    <n v="10000"/>
    <n v="0"/>
    <n v="50000"/>
    <n v="50000"/>
    <s v="Cash"/>
    <x v="3"/>
  </r>
  <r>
    <s v="T10198"/>
    <x v="2"/>
    <s v="C1045"/>
    <x v="0"/>
    <x v="4"/>
    <x v="3"/>
    <x v="5"/>
    <n v="10000"/>
    <n v="8500"/>
    <n v="1500"/>
    <n v="34000"/>
    <n v="40000"/>
    <s v="Cash"/>
    <x v="0"/>
  </r>
  <r>
    <s v="T10199"/>
    <x v="142"/>
    <s v="C1008"/>
    <x v="0"/>
    <x v="0"/>
    <x v="4"/>
    <x v="2"/>
    <n v="10000"/>
    <n v="9200"/>
    <n v="800"/>
    <n v="46000"/>
    <n v="50000"/>
    <s v="Cash"/>
    <x v="0"/>
  </r>
  <r>
    <s v="T10200"/>
    <x v="143"/>
    <s v="C1038"/>
    <x v="4"/>
    <x v="0"/>
    <x v="0"/>
    <x v="2"/>
    <n v="13000"/>
    <n v="10000"/>
    <n v="3000"/>
    <n v="50000"/>
    <n v="65000"/>
    <s v="Cash"/>
    <x v="0"/>
  </r>
  <r>
    <s v="T10201"/>
    <x v="144"/>
    <s v="C1050"/>
    <x v="1"/>
    <x v="4"/>
    <x v="0"/>
    <x v="2"/>
    <n v="12000"/>
    <n v="12000"/>
    <n v="0"/>
    <n v="60000"/>
    <n v="60000"/>
    <s v="Cash"/>
    <x v="3"/>
  </r>
  <r>
    <s v="T10202"/>
    <x v="57"/>
    <s v="C1027"/>
    <x v="0"/>
    <x v="1"/>
    <x v="2"/>
    <x v="4"/>
    <n v="10000"/>
    <s v="NA"/>
    <s v="NA"/>
    <s v="NA"/>
    <s v="NA"/>
    <s v="Transfer"/>
    <x v="1"/>
  </r>
  <r>
    <s v="T10203"/>
    <x v="145"/>
    <s v="C1046"/>
    <x v="2"/>
    <x v="4"/>
    <x v="4"/>
    <x v="5"/>
    <n v="9200"/>
    <n v="12000"/>
    <n v="-2800"/>
    <n v="48000"/>
    <n v="36800"/>
    <s v="Cash"/>
    <x v="2"/>
  </r>
  <r>
    <s v="T10204"/>
    <x v="146"/>
    <s v="C1009"/>
    <x v="1"/>
    <x v="4"/>
    <x v="4"/>
    <x v="4"/>
    <n v="12000"/>
    <n v="10000"/>
    <n v="2000"/>
    <s v="NA"/>
    <s v="NA"/>
    <s v="Pos"/>
    <x v="0"/>
  </r>
  <r>
    <s v="T10205"/>
    <x v="147"/>
    <s v="C1006"/>
    <x v="3"/>
    <x v="0"/>
    <x v="2"/>
    <x v="1"/>
    <n v="15000"/>
    <n v="8500"/>
    <n v="6500"/>
    <n v="8500"/>
    <n v="15000"/>
    <s v="Cash"/>
    <x v="0"/>
  </r>
  <r>
    <s v="T10206"/>
    <x v="148"/>
    <s v="C1035"/>
    <x v="1"/>
    <x v="1"/>
    <x v="0"/>
    <x v="1"/>
    <n v="12000"/>
    <s v="NA"/>
    <s v="NA"/>
    <s v="NA"/>
    <n v="12000"/>
    <s v="Transfer"/>
    <x v="1"/>
  </r>
  <r>
    <s v="T10207"/>
    <x v="59"/>
    <s v="C1018"/>
    <x v="0"/>
    <x v="0"/>
    <x v="3"/>
    <x v="0"/>
    <n v="10000"/>
    <n v="12000"/>
    <n v="-2000"/>
    <n v="36000"/>
    <n v="30000"/>
    <s v="Cash"/>
    <x v="2"/>
  </r>
  <r>
    <s v="T10208"/>
    <x v="149"/>
    <s v="C1009"/>
    <x v="1"/>
    <x v="2"/>
    <x v="2"/>
    <x v="2"/>
    <n v="12000"/>
    <s v="NA"/>
    <s v="NA"/>
    <s v="NA"/>
    <n v="60000"/>
    <s v="Transfer"/>
    <x v="1"/>
  </r>
  <r>
    <s v="T10209"/>
    <x v="44"/>
    <s v="C1007"/>
    <x v="3"/>
    <x v="1"/>
    <x v="2"/>
    <x v="0"/>
    <n v="15000"/>
    <s v="NA"/>
    <s v="NA"/>
    <s v="NA"/>
    <n v="45000"/>
    <s v="Pos"/>
    <x v="1"/>
  </r>
  <r>
    <s v="T10210"/>
    <x v="150"/>
    <s v="C1043"/>
    <x v="4"/>
    <x v="1"/>
    <x v="3"/>
    <x v="2"/>
    <n v="13000"/>
    <s v="NA"/>
    <s v="NA"/>
    <s v="NA"/>
    <n v="65000"/>
    <s v="Transfer"/>
    <x v="1"/>
  </r>
  <r>
    <s v="T10211"/>
    <x v="14"/>
    <s v="C1011"/>
    <x v="4"/>
    <x v="0"/>
    <x v="0"/>
    <x v="4"/>
    <n v="13000"/>
    <n v="10000"/>
    <n v="3000"/>
    <s v="NA"/>
    <s v="NA"/>
    <s v="Cash"/>
    <x v="0"/>
  </r>
  <r>
    <s v="T10212"/>
    <x v="151"/>
    <s v="C1011"/>
    <x v="0"/>
    <x v="1"/>
    <x v="4"/>
    <x v="0"/>
    <n v="10000"/>
    <n v="10000"/>
    <n v="0"/>
    <n v="30000"/>
    <n v="30000"/>
    <s v="Cash"/>
    <x v="3"/>
  </r>
  <r>
    <s v="T10213"/>
    <x v="152"/>
    <s v="C1005"/>
    <x v="4"/>
    <x v="0"/>
    <x v="3"/>
    <x v="1"/>
    <n v="13000"/>
    <n v="9200"/>
    <n v="3800"/>
    <n v="9200"/>
    <n v="13000"/>
    <s v="Cash"/>
    <x v="0"/>
  </r>
  <r>
    <s v="T10214"/>
    <x v="144"/>
    <s v="C1023"/>
    <x v="2"/>
    <x v="4"/>
    <x v="3"/>
    <x v="5"/>
    <n v="9200"/>
    <n v="10000"/>
    <n v="-800"/>
    <n v="40000"/>
    <n v="36800"/>
    <s v="Transfer"/>
    <x v="2"/>
  </r>
  <r>
    <s v="T10215"/>
    <x v="153"/>
    <s v="C1009"/>
    <x v="0"/>
    <x v="2"/>
    <x v="0"/>
    <x v="2"/>
    <n v="10000"/>
    <n v="8500"/>
    <n v="1500"/>
    <n v="42500"/>
    <n v="50000"/>
    <s v="Cash"/>
    <x v="0"/>
  </r>
  <r>
    <s v="T10216"/>
    <x v="20"/>
    <s v="C1028"/>
    <x v="1"/>
    <x v="3"/>
    <x v="2"/>
    <x v="4"/>
    <n v="12000"/>
    <n v="8500"/>
    <n v="3500"/>
    <s v="NA"/>
    <s v="NA"/>
    <s v="Pos"/>
    <x v="0"/>
  </r>
  <r>
    <s v="T10217"/>
    <x v="154"/>
    <s v="C1013"/>
    <x v="3"/>
    <x v="4"/>
    <x v="0"/>
    <x v="5"/>
    <n v="15000"/>
    <n v="12000"/>
    <n v="3000"/>
    <n v="48000"/>
    <n v="60000"/>
    <s v="Pos"/>
    <x v="0"/>
  </r>
  <r>
    <s v="T10218"/>
    <x v="155"/>
    <s v="C1031"/>
    <x v="0"/>
    <x v="2"/>
    <x v="3"/>
    <x v="1"/>
    <n v="10000"/>
    <n v="10000"/>
    <n v="0"/>
    <n v="10000"/>
    <n v="10000"/>
    <s v="Transfer"/>
    <x v="3"/>
  </r>
  <r>
    <s v="T10219"/>
    <x v="156"/>
    <s v="C1003"/>
    <x v="0"/>
    <x v="2"/>
    <x v="2"/>
    <x v="3"/>
    <n v="10000"/>
    <n v="12000"/>
    <n v="-2000"/>
    <n v="24000"/>
    <n v="20000"/>
    <s v="Transfer"/>
    <x v="2"/>
  </r>
  <r>
    <s v="T10220"/>
    <x v="157"/>
    <s v="C1020"/>
    <x v="2"/>
    <x v="2"/>
    <x v="1"/>
    <x v="3"/>
    <n v="9200"/>
    <n v="10000"/>
    <n v="-800"/>
    <n v="20000"/>
    <n v="18400"/>
    <s v="Pos"/>
    <x v="2"/>
  </r>
  <r>
    <s v="T10221"/>
    <x v="158"/>
    <s v="C1024"/>
    <x v="0"/>
    <x v="4"/>
    <x v="2"/>
    <x v="5"/>
    <n v="10000"/>
    <n v="9200"/>
    <n v="800"/>
    <n v="36800"/>
    <n v="40000"/>
    <s v="Transfer"/>
    <x v="0"/>
  </r>
  <r>
    <s v="T10222"/>
    <x v="25"/>
    <s v="C1025"/>
    <x v="0"/>
    <x v="1"/>
    <x v="0"/>
    <x v="2"/>
    <n v="10000"/>
    <n v="10000"/>
    <n v="0"/>
    <n v="50000"/>
    <n v="50000"/>
    <s v="Cash"/>
    <x v="3"/>
  </r>
  <r>
    <s v="T10223"/>
    <x v="159"/>
    <s v="C1027"/>
    <x v="3"/>
    <x v="0"/>
    <x v="3"/>
    <x v="1"/>
    <n v="15000"/>
    <n v="10000"/>
    <n v="5000"/>
    <n v="10000"/>
    <n v="15000"/>
    <s v="Transfer"/>
    <x v="0"/>
  </r>
  <r>
    <s v="T10224"/>
    <x v="160"/>
    <s v="C1025"/>
    <x v="3"/>
    <x v="0"/>
    <x v="2"/>
    <x v="5"/>
    <n v="15000"/>
    <n v="10000"/>
    <n v="5000"/>
    <n v="40000"/>
    <n v="60000"/>
    <s v="Cash"/>
    <x v="0"/>
  </r>
  <r>
    <s v="T10225"/>
    <x v="106"/>
    <s v="C1027"/>
    <x v="1"/>
    <x v="1"/>
    <x v="0"/>
    <x v="5"/>
    <n v="12000"/>
    <n v="10000"/>
    <n v="2000"/>
    <n v="40000"/>
    <n v="48000"/>
    <s v="Cash"/>
    <x v="0"/>
  </r>
  <r>
    <s v="T10226"/>
    <x v="161"/>
    <s v="C1025"/>
    <x v="2"/>
    <x v="4"/>
    <x v="0"/>
    <x v="5"/>
    <n v="9200"/>
    <s v="NA"/>
    <s v="NA"/>
    <s v="NA"/>
    <n v="36800"/>
    <s v="Cash"/>
    <x v="1"/>
  </r>
  <r>
    <s v="T10227"/>
    <x v="162"/>
    <s v="C1032"/>
    <x v="0"/>
    <x v="2"/>
    <x v="1"/>
    <x v="0"/>
    <n v="10000"/>
    <n v="9200"/>
    <n v="800"/>
    <n v="27600"/>
    <n v="30000"/>
    <s v="Cash"/>
    <x v="0"/>
  </r>
  <r>
    <s v="T10228"/>
    <x v="163"/>
    <s v="C1046"/>
    <x v="0"/>
    <x v="3"/>
    <x v="0"/>
    <x v="3"/>
    <n v="10000"/>
    <n v="10000"/>
    <n v="0"/>
    <n v="20000"/>
    <n v="20000"/>
    <s v="Pos"/>
    <x v="3"/>
  </r>
  <r>
    <s v="T10229"/>
    <x v="164"/>
    <s v="C1012"/>
    <x v="1"/>
    <x v="1"/>
    <x v="1"/>
    <x v="1"/>
    <n v="12000"/>
    <n v="9200"/>
    <n v="2800"/>
    <n v="9200"/>
    <n v="12000"/>
    <s v="Pos"/>
    <x v="0"/>
  </r>
  <r>
    <s v="T10230"/>
    <x v="165"/>
    <s v="C1029"/>
    <x v="4"/>
    <x v="1"/>
    <x v="2"/>
    <x v="1"/>
    <n v="13000"/>
    <n v="9200"/>
    <n v="3800"/>
    <n v="9200"/>
    <n v="13000"/>
    <s v="Cash"/>
    <x v="0"/>
  </r>
  <r>
    <s v="T10231"/>
    <x v="100"/>
    <s v="C1020"/>
    <x v="1"/>
    <x v="3"/>
    <x v="3"/>
    <x v="4"/>
    <n v="12000"/>
    <s v="NA"/>
    <s v="NA"/>
    <s v="NA"/>
    <s v="NA"/>
    <s v="Transfer"/>
    <x v="1"/>
  </r>
  <r>
    <s v="T10232"/>
    <x v="129"/>
    <s v="C1040"/>
    <x v="1"/>
    <x v="1"/>
    <x v="3"/>
    <x v="1"/>
    <n v="12000"/>
    <n v="12000"/>
    <n v="0"/>
    <n v="12000"/>
    <n v="12000"/>
    <s v="Cash"/>
    <x v="3"/>
  </r>
  <r>
    <s v="T10233"/>
    <x v="135"/>
    <s v="C1004"/>
    <x v="1"/>
    <x v="2"/>
    <x v="0"/>
    <x v="1"/>
    <n v="12000"/>
    <n v="10000"/>
    <n v="2000"/>
    <n v="10000"/>
    <n v="12000"/>
    <s v="Transfer"/>
    <x v="0"/>
  </r>
  <r>
    <s v="T10234"/>
    <x v="162"/>
    <s v="C1004"/>
    <x v="3"/>
    <x v="4"/>
    <x v="2"/>
    <x v="1"/>
    <n v="15000"/>
    <n v="10000"/>
    <n v="5000"/>
    <n v="10000"/>
    <n v="15000"/>
    <s v="Pos"/>
    <x v="0"/>
  </r>
  <r>
    <s v="T10235"/>
    <x v="164"/>
    <s v="C1024"/>
    <x v="1"/>
    <x v="1"/>
    <x v="2"/>
    <x v="2"/>
    <n v="12000"/>
    <s v="NA"/>
    <s v="NA"/>
    <s v="NA"/>
    <n v="60000"/>
    <s v="Transfer"/>
    <x v="1"/>
  </r>
  <r>
    <s v="T10236"/>
    <x v="166"/>
    <s v="C1041"/>
    <x v="4"/>
    <x v="3"/>
    <x v="2"/>
    <x v="1"/>
    <n v="13000"/>
    <n v="12000"/>
    <n v="1000"/>
    <n v="12000"/>
    <n v="13000"/>
    <s v="Transfer"/>
    <x v="0"/>
  </r>
  <r>
    <s v="T10237"/>
    <x v="167"/>
    <s v="C1028"/>
    <x v="1"/>
    <x v="3"/>
    <x v="3"/>
    <x v="2"/>
    <n v="12000"/>
    <n v="9200"/>
    <n v="2800"/>
    <n v="46000"/>
    <n v="60000"/>
    <s v="Cash"/>
    <x v="0"/>
  </r>
  <r>
    <s v="T10238"/>
    <x v="1"/>
    <s v="C1041"/>
    <x v="1"/>
    <x v="1"/>
    <x v="4"/>
    <x v="4"/>
    <n v="12000"/>
    <n v="8500"/>
    <n v="3500"/>
    <s v="NA"/>
    <s v="NA"/>
    <s v="Transfer"/>
    <x v="0"/>
  </r>
  <r>
    <s v="T10239"/>
    <x v="165"/>
    <s v="C1033"/>
    <x v="0"/>
    <x v="1"/>
    <x v="2"/>
    <x v="5"/>
    <n v="10000"/>
    <n v="12000"/>
    <n v="-2000"/>
    <n v="48000"/>
    <n v="40000"/>
    <s v="Transfer"/>
    <x v="2"/>
  </r>
  <r>
    <s v="T10240"/>
    <x v="90"/>
    <s v="C1049"/>
    <x v="2"/>
    <x v="2"/>
    <x v="4"/>
    <x v="0"/>
    <n v="9200"/>
    <n v="12000"/>
    <n v="-2800"/>
    <n v="36000"/>
    <n v="27600"/>
    <s v="Cash"/>
    <x v="2"/>
  </r>
  <r>
    <s v="T10241"/>
    <x v="34"/>
    <s v="C1021"/>
    <x v="0"/>
    <x v="3"/>
    <x v="2"/>
    <x v="4"/>
    <n v="10000"/>
    <n v="10000"/>
    <n v="0"/>
    <s v="NA"/>
    <s v="NA"/>
    <s v="Cash"/>
    <x v="3"/>
  </r>
  <r>
    <s v="T10242"/>
    <x v="146"/>
    <s v="C1055"/>
    <x v="4"/>
    <x v="0"/>
    <x v="3"/>
    <x v="0"/>
    <n v="13000"/>
    <n v="10000"/>
    <n v="3000"/>
    <n v="30000"/>
    <n v="39000"/>
    <s v="Transfer"/>
    <x v="0"/>
  </r>
  <r>
    <s v="T10243"/>
    <x v="118"/>
    <s v="C1019"/>
    <x v="1"/>
    <x v="0"/>
    <x v="0"/>
    <x v="4"/>
    <n v="12000"/>
    <n v="9200"/>
    <n v="2800"/>
    <s v="NA"/>
    <s v="NA"/>
    <s v="Pos"/>
    <x v="0"/>
  </r>
  <r>
    <s v="T10244"/>
    <x v="168"/>
    <s v="C1019"/>
    <x v="0"/>
    <x v="0"/>
    <x v="3"/>
    <x v="3"/>
    <n v="10000"/>
    <s v="NA"/>
    <s v="NA"/>
    <s v="NA"/>
    <n v="20000"/>
    <s v="Cash"/>
    <x v="1"/>
  </r>
  <r>
    <s v="T10245"/>
    <x v="169"/>
    <s v="C1041"/>
    <x v="3"/>
    <x v="0"/>
    <x v="4"/>
    <x v="3"/>
    <n v="15000"/>
    <s v="NA"/>
    <s v="NA"/>
    <s v="NA"/>
    <n v="30000"/>
    <s v="Cash"/>
    <x v="1"/>
  </r>
  <r>
    <s v="T10246"/>
    <x v="63"/>
    <s v="C1011"/>
    <x v="3"/>
    <x v="3"/>
    <x v="4"/>
    <x v="1"/>
    <n v="15000"/>
    <n v="10000"/>
    <n v="5000"/>
    <n v="10000"/>
    <n v="15000"/>
    <s v="Pos"/>
    <x v="0"/>
  </r>
  <r>
    <s v="T10247"/>
    <x v="38"/>
    <s v="C1009"/>
    <x v="1"/>
    <x v="1"/>
    <x v="3"/>
    <x v="3"/>
    <n v="12000"/>
    <n v="9200"/>
    <n v="2800"/>
    <n v="18400"/>
    <n v="24000"/>
    <s v="Transfer"/>
    <x v="0"/>
  </r>
  <r>
    <s v="T10248"/>
    <x v="170"/>
    <s v="C1002"/>
    <x v="1"/>
    <x v="1"/>
    <x v="2"/>
    <x v="2"/>
    <n v="12000"/>
    <s v="NA"/>
    <s v="NA"/>
    <s v="NA"/>
    <n v="60000"/>
    <s v="Transfer"/>
    <x v="1"/>
  </r>
  <r>
    <s v="T10249"/>
    <x v="154"/>
    <s v="C1009"/>
    <x v="1"/>
    <x v="1"/>
    <x v="0"/>
    <x v="3"/>
    <n v="12000"/>
    <s v="NA"/>
    <s v="NA"/>
    <s v="NA"/>
    <n v="24000"/>
    <s v="Cas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66D1D-1234-4557-A106-5FE1622D1A4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cing Category">
  <location ref="J3:K8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icing Category" fld="13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E028D-20A6-47DC-A47F-13B84C420FD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Name">
  <location ref="A3:B9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Sum of Revenue" fld="10" baseField="3" baseItem="0" numFmtId="43"/>
  </dataFields>
  <formats count="1">
    <format dxfId="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FA0F4-4007-4958-9E2D-D7A2E5FC5D2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ales Rep">
  <location ref="G12:I18" firstHeaderRow="0" firstDataRow="1" firstDataCol="1" rowPageCount="2" colPageCount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Page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x="1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axis="axisPage" multipleItemSelectionAllowed="1" showAll="0">
      <items count="5">
        <item h="1" x="3"/>
        <item h="1" x="1"/>
        <item h="1" x="2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2"/>
    </i>
    <i>
      <x v="3"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13" hier="-1"/>
    <pageField fld="3" item="0" hier="-1"/>
  </pageFields>
  <dataFields count="2">
    <dataField name="Sum of Revenue" fld="10" baseField="0" baseItem="1" numFmtId="43"/>
    <dataField name="Sum of Expected Revenue" fld="11" baseField="5" baseItem="2"/>
  </dataFields>
  <formats count="1">
    <format dxfId="2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308C1-D2CF-409F-9738-352B001546F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ate">
  <location ref="K12:L25" firstHeaderRow="1" firstDataRow="1" firstDataCol="1"/>
  <pivotFields count="15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0" baseField="0" baseItem="1" numFmtId="43"/>
  </dataFields>
  <formats count="1">
    <format dxfId="3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6AAF9-C929-4E38-8D5D-A2F44AA1210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 Name">
  <location ref="A12:C18" firstHeaderRow="0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3"/>
    </i>
    <i>
      <x v="1"/>
    </i>
    <i>
      <x v="2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1" numFmtId="43"/>
    <dataField name="Sum of Expected Revenue" fld="11" baseField="0" baseItem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26530-46FE-4B4D-910F-541CF75D57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gion">
  <location ref="N3:T10" firstHeaderRow="1" firstDataRow="2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Col" showAll="0">
      <items count="6">
        <item x="2"/>
        <item x="0"/>
        <item x="4"/>
        <item x="1"/>
        <item x="3"/>
        <item t="default"/>
      </items>
    </pivotField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showAll="0"/>
    <pivotField dataField="1" showAll="0">
      <items count="7">
        <item x="1"/>
        <item x="3"/>
        <item x="0"/>
        <item x="5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3"/>
    </i>
    <i>
      <x v="4"/>
    </i>
    <i>
      <x v="2"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Quantity" fld="6" subtotal="count" baseField="0" baseItem="0"/>
  </dataFields>
  <formats count="1">
    <format dxfId="5">
      <pivotArea outline="0" collapsedLevelsAreSubtotals="1" fieldPosition="0"/>
    </format>
  </formats>
  <chartFormats count="10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7B792-8A22-430C-A372-05DF18A7D02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D3:E9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Revenue" fld="10" baseField="3" baseItem="0" numFmtId="43"/>
  </dataFields>
  <formats count="1">
    <format dxfId="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51" totalsRowShown="0">
  <autoFilter ref="A1:N251" xr:uid="{00000000-0009-0000-0100-000001000000}"/>
  <tableColumns count="14">
    <tableColumn id="1" xr3:uid="{00000000-0010-0000-0000-000001000000}" name="Transaction_ID"/>
    <tableColumn id="2" xr3:uid="{00000000-0010-0000-0000-000002000000}" name="Date" dataDxfId="12"/>
    <tableColumn id="3" xr3:uid="{00000000-0010-0000-0000-000003000000}" name="Customer_ID"/>
    <tableColumn id="4" xr3:uid="{00000000-0010-0000-0000-000004000000}" name="Product_Name"/>
    <tableColumn id="5" xr3:uid="{00000000-0010-0000-0000-000005000000}" name="Region"/>
    <tableColumn id="6" xr3:uid="{00000000-0010-0000-0000-000006000000}" name="Sales_Rep"/>
    <tableColumn id="7" xr3:uid="{00000000-0010-0000-0000-000007000000}" name="Quantity"/>
    <tableColumn id="13" xr3:uid="{A3753E7C-D94A-4519-B17B-262D8FCD71DB}" name="Standard Unit Price"/>
    <tableColumn id="14" xr3:uid="{4E57CFF0-E99C-45A2-80B8-0619324E3A69}" name="Transactional Unit Price"/>
    <tableColumn id="8" xr3:uid="{00000000-0010-0000-0000-000008000000}" name="Price Difference"/>
    <tableColumn id="15" xr3:uid="{D9F351D4-7D04-44D9-B9ED-86A0593D8C67}" name="Revenue" dataDxfId="11">
      <calculatedColumnFormula>IFERROR(Table1[[#This Row],[Quantity]]*Table1[[#This Row],[Transactional Unit Price]],"NA")</calculatedColumnFormula>
    </tableColumn>
    <tableColumn id="17" xr3:uid="{304850B1-A711-4E14-B37B-C4A0F049455D}" name="Expected Revenue" dataDxfId="10">
      <calculatedColumnFormula>IFERROR(Table1[[#This Row],[Standard Unit Price]]*Table1[[#This Row],[Quantity]],"NA")</calculatedColumnFormula>
    </tableColumn>
    <tableColumn id="9" xr3:uid="{00000000-0010-0000-0000-000009000000}" name="Payment_Method"/>
    <tableColumn id="16" xr3:uid="{34E36784-B090-49ED-A62E-9C4B0A12D615}" name="Pricing Category" dataDxfId="9">
      <calculatedColumnFormula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85B572-B633-401D-BE52-5C2F444B9D11}" name="Table3" displayName="Table3" ref="S1:U251" totalsRowShown="0">
  <autoFilter ref="S1:U251" xr:uid="{C385B572-B633-401D-BE52-5C2F444B9D11}"/>
  <tableColumns count="3">
    <tableColumn id="1" xr3:uid="{C43DD91C-B556-4A49-86DB-D083D23E01C5}" name="Product Name"/>
    <tableColumn id="2" xr3:uid="{92F06CEF-CD1D-47DE-908D-6ABEE7359BCC}" name="Standard Price " dataDxfId="8">
      <calculatedColumnFormula>VLOOKUP(Table3[[#This Row],[Product Name]],Table4[#All],2,FALSE)</calculatedColumnFormula>
    </tableColumn>
    <tableColumn id="3" xr3:uid="{21F52940-9703-4C1B-9AB6-6B3F5E963943}" name="Price Diference" dataDxfId="7">
      <calculatedColumnFormula>IFERROR(Table3[[#This Row],[Standard Price ]]-Table1[[#This Row],[Price Difference]],"NA")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1790D6-20A6-429C-AB81-A23001CAB5FE}" name="Table4" displayName="Table4" ref="B2:C7" totalsRowShown="0">
  <autoFilter ref="B2:C7" xr:uid="{FF1790D6-20A6-429C-AB81-A23001CAB5FE}"/>
  <tableColumns count="2">
    <tableColumn id="1" xr3:uid="{B30615D5-9671-45D2-A47C-A36FE3A0AB74}" name="Product Name"/>
    <tableColumn id="2" xr3:uid="{FBB0A400-D126-4317-A4CD-F4CEBC83CB6B}" name="Unit Pri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"/>
  <sheetViews>
    <sheetView showGridLines="0" tabSelected="1" workbookViewId="0">
      <selection activeCell="R1" sqref="R1"/>
    </sheetView>
  </sheetViews>
  <sheetFormatPr defaultRowHeight="15" x14ac:dyDescent="0.25"/>
  <cols>
    <col min="1" max="1" width="16.140625" customWidth="1"/>
    <col min="2" max="2" width="10.7109375" bestFit="1" customWidth="1"/>
    <col min="3" max="3" width="14.5703125" customWidth="1"/>
    <col min="4" max="4" width="16.28515625" customWidth="1"/>
    <col min="5" max="5" width="12.7109375" bestFit="1" customWidth="1"/>
    <col min="6" max="6" width="12.140625" customWidth="1"/>
    <col min="7" max="7" width="12.28515625" bestFit="1" customWidth="1"/>
    <col min="8" max="8" width="20.5703125" bestFit="1" customWidth="1"/>
    <col min="9" max="9" width="24.5703125" bestFit="1" customWidth="1"/>
    <col min="10" max="10" width="17.7109375" bestFit="1" customWidth="1"/>
    <col min="11" max="11" width="17.7109375" customWidth="1"/>
    <col min="12" max="12" width="20" bestFit="1" customWidth="1"/>
    <col min="13" max="14" width="20" customWidth="1"/>
    <col min="15" max="15" width="19.5703125" bestFit="1" customWidth="1"/>
    <col min="16" max="16" width="19.5703125" customWidth="1"/>
    <col min="17" max="17" width="19.140625" customWidth="1"/>
    <col min="19" max="19" width="16" bestFit="1" customWidth="1"/>
    <col min="20" max="20" width="16.5703125" bestFit="1" customWidth="1"/>
    <col min="21" max="21" width="17" bestFit="1" customWidth="1"/>
    <col min="22" max="22" width="15.7109375" customWidth="1"/>
    <col min="23" max="23" width="16.28515625" customWidth="1"/>
    <col min="24" max="24" width="17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342</v>
      </c>
      <c r="I1" t="s">
        <v>343</v>
      </c>
      <c r="J1" t="s">
        <v>341</v>
      </c>
      <c r="K1" t="s">
        <v>344</v>
      </c>
      <c r="L1" t="s">
        <v>353</v>
      </c>
      <c r="M1" t="s">
        <v>7</v>
      </c>
      <c r="N1" t="s">
        <v>347</v>
      </c>
      <c r="S1" t="s">
        <v>336</v>
      </c>
      <c r="T1" t="s">
        <v>338</v>
      </c>
      <c r="U1" t="s">
        <v>340</v>
      </c>
    </row>
    <row r="2" spans="1:23" x14ac:dyDescent="0.25">
      <c r="A2" t="s">
        <v>8</v>
      </c>
      <c r="B2" s="1">
        <v>45619</v>
      </c>
      <c r="C2" t="s">
        <v>9</v>
      </c>
      <c r="D2" t="s">
        <v>10</v>
      </c>
      <c r="E2" t="s">
        <v>11</v>
      </c>
      <c r="F2" t="s">
        <v>16</v>
      </c>
      <c r="G2">
        <v>3</v>
      </c>
      <c r="H2">
        <v>10000</v>
      </c>
      <c r="I2">
        <v>9200</v>
      </c>
      <c r="J2">
        <v>800</v>
      </c>
      <c r="K2" s="3">
        <f>IFERROR(Table1[[#This Row],[Quantity]]*Table1[[#This Row],[Transactional Unit Price]],"NA")</f>
        <v>27600</v>
      </c>
      <c r="L2" s="3">
        <f>IFERROR(Table1[[#This Row],[Standard Unit Price]]*Table1[[#This Row],[Quantity]],"NA")</f>
        <v>30000</v>
      </c>
      <c r="M2" s="7" t="s">
        <v>13</v>
      </c>
      <c r="N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P2" t="s">
        <v>351</v>
      </c>
      <c r="Q2" t="s">
        <v>372</v>
      </c>
      <c r="S2" t="s">
        <v>10</v>
      </c>
      <c r="T2">
        <f>VLOOKUP(Table3[[#This Row],[Product Name]],Table4[#All],2,FALSE)</f>
        <v>10000</v>
      </c>
      <c r="U2">
        <f>IFERROR(Table3[[#This Row],[Standard Price ]]-Table1[[#This Row],[Price Difference]],"NA")</f>
        <v>9200</v>
      </c>
      <c r="W2" t="str">
        <f>IFERROR(Table1[Price Difference] - B3:C7,"0 ")</f>
        <v xml:space="preserve">0 </v>
      </c>
    </row>
    <row r="3" spans="1:23" x14ac:dyDescent="0.25">
      <c r="A3" t="s">
        <v>14</v>
      </c>
      <c r="B3" s="1">
        <v>45344</v>
      </c>
      <c r="C3" t="s">
        <v>15</v>
      </c>
      <c r="D3" t="s">
        <v>10</v>
      </c>
      <c r="E3" t="s">
        <v>11</v>
      </c>
      <c r="F3" t="s">
        <v>20</v>
      </c>
      <c r="G3">
        <v>1</v>
      </c>
      <c r="H3">
        <v>10000</v>
      </c>
      <c r="I3" t="s">
        <v>337</v>
      </c>
      <c r="J3" t="s">
        <v>337</v>
      </c>
      <c r="K3" t="str">
        <f>IFERROR(Table1[[#This Row],[Quantity]]*Table1[[#This Row],[Transactional Unit Price]],"NA")</f>
        <v>NA</v>
      </c>
      <c r="L3">
        <f>IFERROR(Table1[[#This Row],[Standard Unit Price]]*Table1[[#This Row],[Quantity]],"NA")</f>
        <v>10000</v>
      </c>
      <c r="M3" t="s">
        <v>21</v>
      </c>
      <c r="N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P3" t="s">
        <v>349</v>
      </c>
      <c r="Q3" t="s">
        <v>373</v>
      </c>
      <c r="S3" t="s">
        <v>10</v>
      </c>
      <c r="T3">
        <f>VLOOKUP(Table3[[#This Row],[Product Name]],Table4[#All],2,FALSE)</f>
        <v>10000</v>
      </c>
      <c r="U3" t="str">
        <f>IFERROR(Table3[[#This Row],[Standard Price ]]-Table1[[#This Row],[Price Difference]],"NA")</f>
        <v>NA</v>
      </c>
    </row>
    <row r="4" spans="1:23" x14ac:dyDescent="0.25">
      <c r="A4" t="s">
        <v>17</v>
      </c>
      <c r="B4" s="1">
        <v>45307</v>
      </c>
      <c r="C4" t="s">
        <v>18</v>
      </c>
      <c r="D4" t="s">
        <v>10</v>
      </c>
      <c r="E4" t="s">
        <v>19</v>
      </c>
      <c r="F4" t="s">
        <v>27</v>
      </c>
      <c r="G4">
        <v>5</v>
      </c>
      <c r="H4">
        <v>10000</v>
      </c>
      <c r="I4" t="s">
        <v>337</v>
      </c>
      <c r="J4" t="s">
        <v>337</v>
      </c>
      <c r="K4" t="str">
        <f>IFERROR(Table1[[#This Row],[Quantity]]*Table1[[#This Row],[Transactional Unit Price]],"NA")</f>
        <v>NA</v>
      </c>
      <c r="L4">
        <f>IFERROR(Table1[[#This Row],[Standard Unit Price]]*Table1[[#This Row],[Quantity]],"NA")</f>
        <v>50000</v>
      </c>
      <c r="M4" t="s">
        <v>21</v>
      </c>
      <c r="N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P4" t="s">
        <v>350</v>
      </c>
      <c r="Q4" s="11" t="s">
        <v>374</v>
      </c>
      <c r="S4" t="s">
        <v>10</v>
      </c>
      <c r="T4">
        <f>VLOOKUP(Table3[[#This Row],[Product Name]],Table4[#All],2,FALSE)</f>
        <v>10000</v>
      </c>
      <c r="U4" t="str">
        <f>IFERROR(Table3[[#This Row],[Standard Price ]]-Table1[[#This Row],[Price Difference]],"NA")</f>
        <v>NA</v>
      </c>
    </row>
    <row r="5" spans="1:23" x14ac:dyDescent="0.25">
      <c r="A5" t="s">
        <v>22</v>
      </c>
      <c r="B5" s="1">
        <v>45393</v>
      </c>
      <c r="C5" t="s">
        <v>23</v>
      </c>
      <c r="D5" t="s">
        <v>10</v>
      </c>
      <c r="E5" t="s">
        <v>11</v>
      </c>
      <c r="F5" t="s">
        <v>42</v>
      </c>
      <c r="G5">
        <v>5</v>
      </c>
      <c r="H5">
        <v>10000</v>
      </c>
      <c r="I5">
        <v>12000</v>
      </c>
      <c r="J5">
        <v>-2000</v>
      </c>
      <c r="K5">
        <f>IFERROR(Table1[[#This Row],[Quantity]]*Table1[[#This Row],[Transactional Unit Price]],"NA")</f>
        <v>60000</v>
      </c>
      <c r="L5">
        <f>IFERROR(Table1[[#This Row],[Standard Unit Price]]*Table1[[#This Row],[Quantity]],"NA")</f>
        <v>50000</v>
      </c>
      <c r="M5" t="s">
        <v>13</v>
      </c>
      <c r="N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P5" t="s">
        <v>348</v>
      </c>
      <c r="Q5" s="10" t="s">
        <v>375</v>
      </c>
      <c r="S5" t="s">
        <v>10</v>
      </c>
      <c r="T5">
        <f>VLOOKUP(Table3[[#This Row],[Product Name]],Table4[#All],2,FALSE)</f>
        <v>10000</v>
      </c>
      <c r="U5">
        <f>IFERROR(Table3[[#This Row],[Standard Price ]]-Table1[[#This Row],[Price Difference]],"NA")</f>
        <v>12000</v>
      </c>
    </row>
    <row r="6" spans="1:23" x14ac:dyDescent="0.25">
      <c r="A6" t="s">
        <v>24</v>
      </c>
      <c r="B6" s="1">
        <v>45593</v>
      </c>
      <c r="C6" t="s">
        <v>25</v>
      </c>
      <c r="D6" t="s">
        <v>26</v>
      </c>
      <c r="E6" t="s">
        <v>19</v>
      </c>
      <c r="F6" t="s">
        <v>42</v>
      </c>
      <c r="G6">
        <v>2</v>
      </c>
      <c r="H6">
        <v>12000</v>
      </c>
      <c r="I6">
        <v>12000</v>
      </c>
      <c r="J6">
        <v>0</v>
      </c>
      <c r="K6">
        <f>IFERROR(Table1[[#This Row],[Quantity]]*Table1[[#This Row],[Transactional Unit Price]],"NA")</f>
        <v>24000</v>
      </c>
      <c r="L6">
        <f>IFERROR(Table1[[#This Row],[Standard Unit Price]]*Table1[[#This Row],[Quantity]],"NA")</f>
        <v>24000</v>
      </c>
      <c r="M6" t="s">
        <v>369</v>
      </c>
      <c r="N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6" t="s">
        <v>26</v>
      </c>
      <c r="T6">
        <f>VLOOKUP(Table3[[#This Row],[Product Name]],Table4[#All],2,FALSE)</f>
        <v>12000</v>
      </c>
      <c r="U6">
        <f>IFERROR(Table3[[#This Row],[Standard Price ]]-Table1[[#This Row],[Price Difference]],"NA")</f>
        <v>12000</v>
      </c>
    </row>
    <row r="7" spans="1:23" x14ac:dyDescent="0.25">
      <c r="A7" t="s">
        <v>28</v>
      </c>
      <c r="B7" s="1">
        <v>45371</v>
      </c>
      <c r="C7" t="s">
        <v>29</v>
      </c>
      <c r="D7" t="s">
        <v>30</v>
      </c>
      <c r="E7" t="s">
        <v>19</v>
      </c>
      <c r="F7" t="s">
        <v>16</v>
      </c>
      <c r="G7">
        <v>1</v>
      </c>
      <c r="H7">
        <v>9200</v>
      </c>
      <c r="I7">
        <v>8500</v>
      </c>
      <c r="J7">
        <v>700</v>
      </c>
      <c r="K7">
        <f>IFERROR(Table1[[#This Row],[Quantity]]*Table1[[#This Row],[Transactional Unit Price]],"NA")</f>
        <v>8500</v>
      </c>
      <c r="L7">
        <f>IFERROR(Table1[[#This Row],[Standard Unit Price]]*Table1[[#This Row],[Quantity]],"NA")</f>
        <v>9200</v>
      </c>
      <c r="M7" t="s">
        <v>21</v>
      </c>
      <c r="N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7" t="s">
        <v>30</v>
      </c>
      <c r="T7">
        <f>VLOOKUP(Table3[[#This Row],[Product Name]],Table4[#All],2,FALSE)</f>
        <v>9200</v>
      </c>
      <c r="U7">
        <f>IFERROR(Table3[[#This Row],[Standard Price ]]-Table1[[#This Row],[Price Difference]],"NA")</f>
        <v>8500</v>
      </c>
    </row>
    <row r="8" spans="1:23" x14ac:dyDescent="0.25">
      <c r="A8" t="s">
        <v>32</v>
      </c>
      <c r="B8" s="1">
        <v>45475</v>
      </c>
      <c r="C8" t="s">
        <v>33</v>
      </c>
      <c r="D8" t="s">
        <v>26</v>
      </c>
      <c r="E8" t="s">
        <v>34</v>
      </c>
      <c r="F8" t="s">
        <v>27</v>
      </c>
      <c r="G8">
        <v>3</v>
      </c>
      <c r="H8">
        <v>12000</v>
      </c>
      <c r="I8">
        <v>8500</v>
      </c>
      <c r="J8">
        <v>3500</v>
      </c>
      <c r="K8">
        <f>IFERROR(Table1[[#This Row],[Quantity]]*Table1[[#This Row],[Transactional Unit Price]],"NA")</f>
        <v>25500</v>
      </c>
      <c r="L8">
        <f>IFERROR(Table1[[#This Row],[Standard Unit Price]]*Table1[[#This Row],[Quantity]],"NA")</f>
        <v>36000</v>
      </c>
      <c r="M8" t="s">
        <v>21</v>
      </c>
      <c r="N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8" t="s">
        <v>26</v>
      </c>
      <c r="T8">
        <f>VLOOKUP(Table3[[#This Row],[Product Name]],Table4[#All],2,FALSE)</f>
        <v>12000</v>
      </c>
      <c r="U8">
        <f>IFERROR(Table3[[#This Row],[Standard Price ]]-Table1[[#This Row],[Price Difference]],"NA")</f>
        <v>8500</v>
      </c>
    </row>
    <row r="9" spans="1:23" x14ac:dyDescent="0.25">
      <c r="A9" t="s">
        <v>35</v>
      </c>
      <c r="B9" s="1">
        <v>45355</v>
      </c>
      <c r="C9" t="s">
        <v>36</v>
      </c>
      <c r="D9" t="s">
        <v>37</v>
      </c>
      <c r="E9" t="s">
        <v>11</v>
      </c>
      <c r="F9" t="s">
        <v>27</v>
      </c>
      <c r="G9">
        <v>3</v>
      </c>
      <c r="H9">
        <v>15000</v>
      </c>
      <c r="I9" t="s">
        <v>337</v>
      </c>
      <c r="J9" t="s">
        <v>337</v>
      </c>
      <c r="K9" t="str">
        <f>IFERROR(Table1[[#This Row],[Quantity]]*Table1[[#This Row],[Transactional Unit Price]],"NA")</f>
        <v>NA</v>
      </c>
      <c r="L9">
        <f>IFERROR(Table1[[#This Row],[Standard Unit Price]]*Table1[[#This Row],[Quantity]],"NA")</f>
        <v>45000</v>
      </c>
      <c r="M9" t="s">
        <v>369</v>
      </c>
      <c r="N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9" t="s">
        <v>37</v>
      </c>
      <c r="T9">
        <f>VLOOKUP(Table3[[#This Row],[Product Name]],Table4[#All],2,FALSE)</f>
        <v>15000</v>
      </c>
      <c r="U9" t="str">
        <f>IFERROR(Table3[[#This Row],[Standard Price ]]-Table1[[#This Row],[Price Difference]],"NA")</f>
        <v>NA</v>
      </c>
    </row>
    <row r="10" spans="1:23" x14ac:dyDescent="0.25">
      <c r="A10" t="s">
        <v>38</v>
      </c>
      <c r="B10" s="1">
        <v>45390</v>
      </c>
      <c r="C10" t="s">
        <v>39</v>
      </c>
      <c r="D10" t="s">
        <v>10</v>
      </c>
      <c r="E10" t="s">
        <v>11</v>
      </c>
      <c r="F10" t="s">
        <v>27</v>
      </c>
      <c r="G10" t="s">
        <v>337</v>
      </c>
      <c r="H10">
        <v>10000</v>
      </c>
      <c r="I10">
        <v>9200</v>
      </c>
      <c r="J10">
        <v>800</v>
      </c>
      <c r="K10" t="str">
        <f>IFERROR(Table1[[#This Row],[Quantity]]*Table1[[#This Row],[Transactional Unit Price]],"NA")</f>
        <v>NA</v>
      </c>
      <c r="L10" t="str">
        <f>IFERROR(Table1[[#This Row],[Standard Unit Price]]*Table1[[#This Row],[Quantity]],"NA")</f>
        <v>NA</v>
      </c>
      <c r="M10" t="s">
        <v>369</v>
      </c>
      <c r="N1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0" t="s">
        <v>10</v>
      </c>
      <c r="T10">
        <f>VLOOKUP(Table3[[#This Row],[Product Name]],Table4[#All],2,FALSE)</f>
        <v>10000</v>
      </c>
      <c r="U10">
        <f>IFERROR(Table3[[#This Row],[Standard Price ]]-Table1[[#This Row],[Price Difference]],"NA")</f>
        <v>9200</v>
      </c>
    </row>
    <row r="11" spans="1:23" x14ac:dyDescent="0.25">
      <c r="A11" t="s">
        <v>40</v>
      </c>
      <c r="B11" s="1">
        <v>45411</v>
      </c>
      <c r="C11" t="s">
        <v>41</v>
      </c>
      <c r="D11" t="s">
        <v>26</v>
      </c>
      <c r="E11" t="s">
        <v>11</v>
      </c>
      <c r="F11" t="s">
        <v>42</v>
      </c>
      <c r="G11">
        <v>3</v>
      </c>
      <c r="H11">
        <v>12000</v>
      </c>
      <c r="I11">
        <v>12000</v>
      </c>
      <c r="J11">
        <v>0</v>
      </c>
      <c r="K11">
        <f>IFERROR(Table1[[#This Row],[Quantity]]*Table1[[#This Row],[Transactional Unit Price]],"NA")</f>
        <v>36000</v>
      </c>
      <c r="L11">
        <f>IFERROR(Table1[[#This Row],[Standard Unit Price]]*Table1[[#This Row],[Quantity]],"NA")</f>
        <v>36000</v>
      </c>
      <c r="M11" t="s">
        <v>369</v>
      </c>
      <c r="N1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1" t="s">
        <v>26</v>
      </c>
      <c r="T11">
        <f>VLOOKUP(Table3[[#This Row],[Product Name]],Table4[#All],2,FALSE)</f>
        <v>12000</v>
      </c>
      <c r="U11">
        <f>IFERROR(Table3[[#This Row],[Standard Price ]]-Table1[[#This Row],[Price Difference]],"NA")</f>
        <v>12000</v>
      </c>
    </row>
    <row r="12" spans="1:23" x14ac:dyDescent="0.25">
      <c r="A12" t="s">
        <v>43</v>
      </c>
      <c r="B12" s="1">
        <v>45481</v>
      </c>
      <c r="C12" t="s">
        <v>44</v>
      </c>
      <c r="D12" t="s">
        <v>26</v>
      </c>
      <c r="E12" t="s">
        <v>19</v>
      </c>
      <c r="F12" t="s">
        <v>31</v>
      </c>
      <c r="G12">
        <v>3</v>
      </c>
      <c r="H12">
        <v>12000</v>
      </c>
      <c r="I12">
        <v>8500</v>
      </c>
      <c r="J12">
        <v>3500</v>
      </c>
      <c r="K12">
        <f>IFERROR(Table1[[#This Row],[Quantity]]*Table1[[#This Row],[Transactional Unit Price]],"NA")</f>
        <v>25500</v>
      </c>
      <c r="L12">
        <f>IFERROR(Table1[[#This Row],[Standard Unit Price]]*Table1[[#This Row],[Quantity]],"NA")</f>
        <v>36000</v>
      </c>
      <c r="M12" t="s">
        <v>13</v>
      </c>
      <c r="N1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2" t="s">
        <v>26</v>
      </c>
      <c r="T12">
        <f>VLOOKUP(Table3[[#This Row],[Product Name]],Table4[#All],2,FALSE)</f>
        <v>12000</v>
      </c>
      <c r="U12">
        <f>IFERROR(Table3[[#This Row],[Standard Price ]]-Table1[[#This Row],[Price Difference]],"NA")</f>
        <v>8500</v>
      </c>
    </row>
    <row r="13" spans="1:23" x14ac:dyDescent="0.25">
      <c r="A13" t="s">
        <v>45</v>
      </c>
      <c r="B13" s="1">
        <v>45379</v>
      </c>
      <c r="C13" t="s">
        <v>25</v>
      </c>
      <c r="D13" t="s">
        <v>46</v>
      </c>
      <c r="E13" t="s">
        <v>11</v>
      </c>
      <c r="F13" t="s">
        <v>27</v>
      </c>
      <c r="G13">
        <v>2</v>
      </c>
      <c r="H13">
        <v>13000</v>
      </c>
      <c r="I13">
        <v>12000</v>
      </c>
      <c r="J13">
        <v>1000</v>
      </c>
      <c r="K13">
        <f>IFERROR(Table1[[#This Row],[Quantity]]*Table1[[#This Row],[Transactional Unit Price]],"NA")</f>
        <v>24000</v>
      </c>
      <c r="L13">
        <f>IFERROR(Table1[[#This Row],[Standard Unit Price]]*Table1[[#This Row],[Quantity]],"NA")</f>
        <v>26000</v>
      </c>
      <c r="M13" t="s">
        <v>21</v>
      </c>
      <c r="N1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" t="s">
        <v>46</v>
      </c>
      <c r="T13">
        <f>VLOOKUP(Table3[[#This Row],[Product Name]],Table4[#All],2,FALSE)</f>
        <v>13000</v>
      </c>
      <c r="U13">
        <f>IFERROR(Table3[[#This Row],[Standard Price ]]-Table1[[#This Row],[Price Difference]],"NA")</f>
        <v>12000</v>
      </c>
    </row>
    <row r="14" spans="1:23" x14ac:dyDescent="0.25">
      <c r="A14" t="s">
        <v>47</v>
      </c>
      <c r="B14" s="1">
        <v>45619</v>
      </c>
      <c r="C14" t="s">
        <v>48</v>
      </c>
      <c r="D14" t="s">
        <v>10</v>
      </c>
      <c r="E14" t="s">
        <v>49</v>
      </c>
      <c r="F14" t="s">
        <v>31</v>
      </c>
      <c r="G14" t="s">
        <v>337</v>
      </c>
      <c r="H14">
        <v>10000</v>
      </c>
      <c r="I14">
        <v>10000</v>
      </c>
      <c r="J14">
        <v>0</v>
      </c>
      <c r="K14" t="str">
        <f>IFERROR(Table1[[#This Row],[Quantity]]*Table1[[#This Row],[Transactional Unit Price]],"NA")</f>
        <v>NA</v>
      </c>
      <c r="L14" t="str">
        <f>IFERROR(Table1[[#This Row],[Standard Unit Price]]*Table1[[#This Row],[Quantity]],"NA")</f>
        <v>NA</v>
      </c>
      <c r="M14" t="s">
        <v>21</v>
      </c>
      <c r="N1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4" t="s">
        <v>10</v>
      </c>
      <c r="T14">
        <f>VLOOKUP(Table3[[#This Row],[Product Name]],Table4[#All],2,FALSE)</f>
        <v>10000</v>
      </c>
      <c r="U14">
        <f>IFERROR(Table3[[#This Row],[Standard Price ]]-Table1[[#This Row],[Price Difference]],"NA")</f>
        <v>10000</v>
      </c>
    </row>
    <row r="15" spans="1:23" x14ac:dyDescent="0.25">
      <c r="A15" t="s">
        <v>50</v>
      </c>
      <c r="B15" s="1">
        <v>45308</v>
      </c>
      <c r="C15" t="s">
        <v>51</v>
      </c>
      <c r="D15" t="s">
        <v>26</v>
      </c>
      <c r="E15" t="s">
        <v>34</v>
      </c>
      <c r="F15" t="s">
        <v>27</v>
      </c>
      <c r="G15">
        <v>3</v>
      </c>
      <c r="H15">
        <v>12000</v>
      </c>
      <c r="I15">
        <v>8500</v>
      </c>
      <c r="J15">
        <v>3500</v>
      </c>
      <c r="K15">
        <f>IFERROR(Table1[[#This Row],[Quantity]]*Table1[[#This Row],[Transactional Unit Price]],"NA")</f>
        <v>25500</v>
      </c>
      <c r="L15">
        <f>IFERROR(Table1[[#This Row],[Standard Unit Price]]*Table1[[#This Row],[Quantity]],"NA")</f>
        <v>36000</v>
      </c>
      <c r="M15" t="s">
        <v>13</v>
      </c>
      <c r="N1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" t="s">
        <v>26</v>
      </c>
      <c r="T15">
        <f>VLOOKUP(Table3[[#This Row],[Product Name]],Table4[#All],2,FALSE)</f>
        <v>12000</v>
      </c>
      <c r="U15">
        <f>IFERROR(Table3[[#This Row],[Standard Price ]]-Table1[[#This Row],[Price Difference]],"NA")</f>
        <v>8500</v>
      </c>
    </row>
    <row r="16" spans="1:23" x14ac:dyDescent="0.25">
      <c r="A16" t="s">
        <v>52</v>
      </c>
      <c r="B16" s="1">
        <v>45582</v>
      </c>
      <c r="C16" t="s">
        <v>53</v>
      </c>
      <c r="D16" t="s">
        <v>10</v>
      </c>
      <c r="E16" t="s">
        <v>34</v>
      </c>
      <c r="F16" t="s">
        <v>42</v>
      </c>
      <c r="G16" t="s">
        <v>337</v>
      </c>
      <c r="H16">
        <v>10000</v>
      </c>
      <c r="I16">
        <v>12000</v>
      </c>
      <c r="J16">
        <v>-2000</v>
      </c>
      <c r="K16" t="str">
        <f>IFERROR(Table1[[#This Row],[Quantity]]*Table1[[#This Row],[Transactional Unit Price]],"NA")</f>
        <v>NA</v>
      </c>
      <c r="L16" t="str">
        <f>IFERROR(Table1[[#This Row],[Standard Unit Price]]*Table1[[#This Row],[Quantity]],"NA")</f>
        <v>NA</v>
      </c>
      <c r="M16" t="s">
        <v>21</v>
      </c>
      <c r="N1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6" t="s">
        <v>10</v>
      </c>
      <c r="T16">
        <f>VLOOKUP(Table3[[#This Row],[Product Name]],Table4[#All],2,FALSE)</f>
        <v>10000</v>
      </c>
      <c r="U16">
        <f>IFERROR(Table3[[#This Row],[Standard Price ]]-Table1[[#This Row],[Price Difference]],"NA")</f>
        <v>12000</v>
      </c>
    </row>
    <row r="17" spans="1:21" x14ac:dyDescent="0.25">
      <c r="A17" t="s">
        <v>54</v>
      </c>
      <c r="B17" s="1">
        <v>45621</v>
      </c>
      <c r="C17" t="s">
        <v>33</v>
      </c>
      <c r="D17" t="s">
        <v>37</v>
      </c>
      <c r="E17" t="s">
        <v>19</v>
      </c>
      <c r="F17" t="s">
        <v>16</v>
      </c>
      <c r="G17">
        <v>2</v>
      </c>
      <c r="H17">
        <v>15000</v>
      </c>
      <c r="I17">
        <v>9200</v>
      </c>
      <c r="J17">
        <v>5800</v>
      </c>
      <c r="K17">
        <f>IFERROR(Table1[[#This Row],[Quantity]]*Table1[[#This Row],[Transactional Unit Price]],"NA")</f>
        <v>18400</v>
      </c>
      <c r="L17">
        <f>IFERROR(Table1[[#This Row],[Standard Unit Price]]*Table1[[#This Row],[Quantity]],"NA")</f>
        <v>30000</v>
      </c>
      <c r="M17" t="s">
        <v>13</v>
      </c>
      <c r="N1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7" t="s">
        <v>37</v>
      </c>
      <c r="T17">
        <f>VLOOKUP(Table3[[#This Row],[Product Name]],Table4[#All],2,FALSE)</f>
        <v>15000</v>
      </c>
      <c r="U17">
        <f>IFERROR(Table3[[#This Row],[Standard Price ]]-Table1[[#This Row],[Price Difference]],"NA")</f>
        <v>9200</v>
      </c>
    </row>
    <row r="18" spans="1:21" x14ac:dyDescent="0.25">
      <c r="A18" t="s">
        <v>55</v>
      </c>
      <c r="B18" s="1">
        <v>45426</v>
      </c>
      <c r="C18" t="s">
        <v>48</v>
      </c>
      <c r="D18" t="s">
        <v>10</v>
      </c>
      <c r="E18" t="s">
        <v>49</v>
      </c>
      <c r="F18" t="s">
        <v>42</v>
      </c>
      <c r="G18">
        <v>5</v>
      </c>
      <c r="H18">
        <v>10000</v>
      </c>
      <c r="I18">
        <v>12000</v>
      </c>
      <c r="J18">
        <v>-2000</v>
      </c>
      <c r="K18">
        <f>IFERROR(Table1[[#This Row],[Quantity]]*Table1[[#This Row],[Transactional Unit Price]],"NA")</f>
        <v>60000</v>
      </c>
      <c r="L18">
        <f>IFERROR(Table1[[#This Row],[Standard Unit Price]]*Table1[[#This Row],[Quantity]],"NA")</f>
        <v>50000</v>
      </c>
      <c r="M18" t="s">
        <v>369</v>
      </c>
      <c r="N1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8" t="s">
        <v>10</v>
      </c>
      <c r="T18">
        <f>VLOOKUP(Table3[[#This Row],[Product Name]],Table4[#All],2,FALSE)</f>
        <v>10000</v>
      </c>
      <c r="U18">
        <f>IFERROR(Table3[[#This Row],[Standard Price ]]-Table1[[#This Row],[Price Difference]],"NA")</f>
        <v>12000</v>
      </c>
    </row>
    <row r="19" spans="1:21" x14ac:dyDescent="0.25">
      <c r="A19" t="s">
        <v>56</v>
      </c>
      <c r="B19" s="1">
        <v>45362</v>
      </c>
      <c r="C19" t="s">
        <v>44</v>
      </c>
      <c r="D19" t="s">
        <v>46</v>
      </c>
      <c r="E19" t="s">
        <v>57</v>
      </c>
      <c r="F19" t="s">
        <v>31</v>
      </c>
      <c r="G19">
        <v>1</v>
      </c>
      <c r="H19">
        <v>13000</v>
      </c>
      <c r="I19">
        <v>8500</v>
      </c>
      <c r="J19">
        <v>4500</v>
      </c>
      <c r="K19">
        <f>IFERROR(Table1[[#This Row],[Quantity]]*Table1[[#This Row],[Transactional Unit Price]],"NA")</f>
        <v>8500</v>
      </c>
      <c r="L19">
        <f>IFERROR(Table1[[#This Row],[Standard Unit Price]]*Table1[[#This Row],[Quantity]],"NA")</f>
        <v>13000</v>
      </c>
      <c r="M19" t="s">
        <v>13</v>
      </c>
      <c r="N1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9" t="s">
        <v>46</v>
      </c>
      <c r="T19">
        <f>VLOOKUP(Table3[[#This Row],[Product Name]],Table4[#All],2,FALSE)</f>
        <v>13000</v>
      </c>
      <c r="U19">
        <f>IFERROR(Table3[[#This Row],[Standard Price ]]-Table1[[#This Row],[Price Difference]],"NA")</f>
        <v>8500</v>
      </c>
    </row>
    <row r="20" spans="1:21" x14ac:dyDescent="0.25">
      <c r="A20" t="s">
        <v>58</v>
      </c>
      <c r="B20" s="1">
        <v>45373</v>
      </c>
      <c r="C20" t="s">
        <v>59</v>
      </c>
      <c r="D20" t="s">
        <v>26</v>
      </c>
      <c r="E20" t="s">
        <v>11</v>
      </c>
      <c r="F20" t="s">
        <v>31</v>
      </c>
      <c r="G20">
        <v>5</v>
      </c>
      <c r="H20">
        <v>12000</v>
      </c>
      <c r="I20">
        <v>8500</v>
      </c>
      <c r="J20">
        <v>3500</v>
      </c>
      <c r="K20">
        <f>IFERROR(Table1[[#This Row],[Quantity]]*Table1[[#This Row],[Transactional Unit Price]],"NA")</f>
        <v>42500</v>
      </c>
      <c r="L20">
        <f>IFERROR(Table1[[#This Row],[Standard Unit Price]]*Table1[[#This Row],[Quantity]],"NA")</f>
        <v>60000</v>
      </c>
      <c r="M20" t="s">
        <v>21</v>
      </c>
      <c r="N2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0" t="s">
        <v>26</v>
      </c>
      <c r="T20">
        <f>VLOOKUP(Table3[[#This Row],[Product Name]],Table4[#All],2,FALSE)</f>
        <v>12000</v>
      </c>
      <c r="U20">
        <f>IFERROR(Table3[[#This Row],[Standard Price ]]-Table1[[#This Row],[Price Difference]],"NA")</f>
        <v>8500</v>
      </c>
    </row>
    <row r="21" spans="1:21" x14ac:dyDescent="0.25">
      <c r="A21" t="s">
        <v>60</v>
      </c>
      <c r="B21" s="1">
        <v>45597</v>
      </c>
      <c r="C21" t="s">
        <v>61</v>
      </c>
      <c r="D21" t="s">
        <v>37</v>
      </c>
      <c r="E21" t="s">
        <v>49</v>
      </c>
      <c r="F21" t="s">
        <v>42</v>
      </c>
      <c r="G21">
        <v>5</v>
      </c>
      <c r="H21">
        <v>15000</v>
      </c>
      <c r="I21">
        <v>8500</v>
      </c>
      <c r="J21">
        <v>6500</v>
      </c>
      <c r="K21">
        <f>IFERROR(Table1[[#This Row],[Quantity]]*Table1[[#This Row],[Transactional Unit Price]],"NA")</f>
        <v>42500</v>
      </c>
      <c r="L21">
        <f>IFERROR(Table1[[#This Row],[Standard Unit Price]]*Table1[[#This Row],[Quantity]],"NA")</f>
        <v>75000</v>
      </c>
      <c r="M21" t="s">
        <v>21</v>
      </c>
      <c r="N2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1" t="s">
        <v>37</v>
      </c>
      <c r="T21">
        <f>VLOOKUP(Table3[[#This Row],[Product Name]],Table4[#All],2,FALSE)</f>
        <v>15000</v>
      </c>
      <c r="U21">
        <f>IFERROR(Table3[[#This Row],[Standard Price ]]-Table1[[#This Row],[Price Difference]],"NA")</f>
        <v>8500</v>
      </c>
    </row>
    <row r="22" spans="1:21" x14ac:dyDescent="0.25">
      <c r="A22" t="s">
        <v>62</v>
      </c>
      <c r="B22" s="1">
        <v>45566</v>
      </c>
      <c r="C22" t="s">
        <v>63</v>
      </c>
      <c r="D22" t="s">
        <v>26</v>
      </c>
      <c r="E22" t="s">
        <v>34</v>
      </c>
      <c r="F22" t="s">
        <v>27</v>
      </c>
      <c r="G22">
        <v>3</v>
      </c>
      <c r="H22">
        <v>12000</v>
      </c>
      <c r="I22">
        <v>8500</v>
      </c>
      <c r="J22">
        <v>3500</v>
      </c>
      <c r="K22">
        <f>IFERROR(Table1[[#This Row],[Quantity]]*Table1[[#This Row],[Transactional Unit Price]],"NA")</f>
        <v>25500</v>
      </c>
      <c r="L22">
        <f>IFERROR(Table1[[#This Row],[Standard Unit Price]]*Table1[[#This Row],[Quantity]],"NA")</f>
        <v>36000</v>
      </c>
      <c r="M22" t="s">
        <v>369</v>
      </c>
      <c r="N2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2" t="s">
        <v>26</v>
      </c>
      <c r="T22">
        <f>VLOOKUP(Table3[[#This Row],[Product Name]],Table4[#All],2,FALSE)</f>
        <v>12000</v>
      </c>
      <c r="U22">
        <f>IFERROR(Table3[[#This Row],[Standard Price ]]-Table1[[#This Row],[Price Difference]],"NA")</f>
        <v>8500</v>
      </c>
    </row>
    <row r="23" spans="1:21" x14ac:dyDescent="0.25">
      <c r="A23" t="s">
        <v>64</v>
      </c>
      <c r="B23" s="1">
        <v>45372</v>
      </c>
      <c r="C23" t="s">
        <v>65</v>
      </c>
      <c r="D23" t="s">
        <v>37</v>
      </c>
      <c r="E23" t="s">
        <v>11</v>
      </c>
      <c r="F23" t="s">
        <v>16</v>
      </c>
      <c r="G23" t="s">
        <v>337</v>
      </c>
      <c r="H23">
        <v>15000</v>
      </c>
      <c r="I23">
        <v>10000</v>
      </c>
      <c r="J23">
        <v>5000</v>
      </c>
      <c r="K23" t="str">
        <f>IFERROR(Table1[[#This Row],[Quantity]]*Table1[[#This Row],[Transactional Unit Price]],"NA")</f>
        <v>NA</v>
      </c>
      <c r="L23" t="str">
        <f>IFERROR(Table1[[#This Row],[Standard Unit Price]]*Table1[[#This Row],[Quantity]],"NA")</f>
        <v>NA</v>
      </c>
      <c r="M23" t="s">
        <v>13</v>
      </c>
      <c r="N2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3" t="s">
        <v>37</v>
      </c>
      <c r="T23">
        <f>VLOOKUP(Table3[[#This Row],[Product Name]],Table4[#All],2,FALSE)</f>
        <v>15000</v>
      </c>
      <c r="U23">
        <f>IFERROR(Table3[[#This Row],[Standard Price ]]-Table1[[#This Row],[Price Difference]],"NA")</f>
        <v>10000</v>
      </c>
    </row>
    <row r="24" spans="1:21" x14ac:dyDescent="0.25">
      <c r="A24" t="s">
        <v>66</v>
      </c>
      <c r="B24" s="1">
        <v>45383</v>
      </c>
      <c r="C24" t="s">
        <v>67</v>
      </c>
      <c r="D24" t="s">
        <v>46</v>
      </c>
      <c r="E24" t="s">
        <v>11</v>
      </c>
      <c r="F24" t="s">
        <v>12</v>
      </c>
      <c r="G24">
        <v>3</v>
      </c>
      <c r="H24">
        <v>13000</v>
      </c>
      <c r="I24" t="s">
        <v>337</v>
      </c>
      <c r="J24" t="s">
        <v>337</v>
      </c>
      <c r="K24" t="str">
        <f>IFERROR(Table1[[#This Row],[Quantity]]*Table1[[#This Row],[Transactional Unit Price]],"NA")</f>
        <v>NA</v>
      </c>
      <c r="L24">
        <f>IFERROR(Table1[[#This Row],[Standard Unit Price]]*Table1[[#This Row],[Quantity]],"NA")</f>
        <v>39000</v>
      </c>
      <c r="M24" t="s">
        <v>13</v>
      </c>
      <c r="N2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4" t="s">
        <v>46</v>
      </c>
      <c r="T24">
        <f>VLOOKUP(Table3[[#This Row],[Product Name]],Table4[#All],2,FALSE)</f>
        <v>13000</v>
      </c>
      <c r="U24" t="str">
        <f>IFERROR(Table3[[#This Row],[Standard Price ]]-Table1[[#This Row],[Price Difference]],"NA")</f>
        <v>NA</v>
      </c>
    </row>
    <row r="25" spans="1:21" x14ac:dyDescent="0.25">
      <c r="A25" t="s">
        <v>68</v>
      </c>
      <c r="B25" s="1">
        <v>45370</v>
      </c>
      <c r="C25" t="s">
        <v>69</v>
      </c>
      <c r="D25" t="s">
        <v>26</v>
      </c>
      <c r="E25" t="s">
        <v>19</v>
      </c>
      <c r="F25" t="s">
        <v>20</v>
      </c>
      <c r="G25">
        <v>5</v>
      </c>
      <c r="H25">
        <v>12000</v>
      </c>
      <c r="I25" t="s">
        <v>337</v>
      </c>
      <c r="J25" t="s">
        <v>337</v>
      </c>
      <c r="K25" t="str">
        <f>IFERROR(Table1[[#This Row],[Quantity]]*Table1[[#This Row],[Transactional Unit Price]],"NA")</f>
        <v>NA</v>
      </c>
      <c r="L25">
        <f>IFERROR(Table1[[#This Row],[Standard Unit Price]]*Table1[[#This Row],[Quantity]],"NA")</f>
        <v>60000</v>
      </c>
      <c r="M25" t="s">
        <v>21</v>
      </c>
      <c r="N2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5" t="s">
        <v>26</v>
      </c>
      <c r="T25">
        <f>VLOOKUP(Table3[[#This Row],[Product Name]],Table4[#All],2,FALSE)</f>
        <v>12000</v>
      </c>
      <c r="U25" t="str">
        <f>IFERROR(Table3[[#This Row],[Standard Price ]]-Table1[[#This Row],[Price Difference]],"NA")</f>
        <v>NA</v>
      </c>
    </row>
    <row r="26" spans="1:21" x14ac:dyDescent="0.25">
      <c r="A26" t="s">
        <v>70</v>
      </c>
      <c r="B26" s="1">
        <v>45457</v>
      </c>
      <c r="C26" t="s">
        <v>71</v>
      </c>
      <c r="D26" t="s">
        <v>37</v>
      </c>
      <c r="E26" t="s">
        <v>11</v>
      </c>
      <c r="F26" t="s">
        <v>27</v>
      </c>
      <c r="G26">
        <v>3</v>
      </c>
      <c r="H26">
        <v>15000</v>
      </c>
      <c r="I26">
        <v>10000</v>
      </c>
      <c r="J26">
        <v>5000</v>
      </c>
      <c r="K26">
        <f>IFERROR(Table1[[#This Row],[Quantity]]*Table1[[#This Row],[Transactional Unit Price]],"NA")</f>
        <v>30000</v>
      </c>
      <c r="L26">
        <f>IFERROR(Table1[[#This Row],[Standard Unit Price]]*Table1[[#This Row],[Quantity]],"NA")</f>
        <v>45000</v>
      </c>
      <c r="M26" t="s">
        <v>13</v>
      </c>
      <c r="N2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6" t="s">
        <v>37</v>
      </c>
      <c r="T26">
        <f>VLOOKUP(Table3[[#This Row],[Product Name]],Table4[#All],2,FALSE)</f>
        <v>15000</v>
      </c>
      <c r="U26">
        <f>IFERROR(Table3[[#This Row],[Standard Price ]]-Table1[[#This Row],[Price Difference]],"NA")</f>
        <v>10000</v>
      </c>
    </row>
    <row r="27" spans="1:21" x14ac:dyDescent="0.25">
      <c r="A27" t="s">
        <v>72</v>
      </c>
      <c r="B27" s="1">
        <v>45415</v>
      </c>
      <c r="C27" t="s">
        <v>65</v>
      </c>
      <c r="D27" t="s">
        <v>46</v>
      </c>
      <c r="E27" t="s">
        <v>11</v>
      </c>
      <c r="F27" t="s">
        <v>27</v>
      </c>
      <c r="G27" t="s">
        <v>337</v>
      </c>
      <c r="H27">
        <v>13000</v>
      </c>
      <c r="I27">
        <v>12000</v>
      </c>
      <c r="J27">
        <v>1000</v>
      </c>
      <c r="K27" t="str">
        <f>IFERROR(Table1[[#This Row],[Quantity]]*Table1[[#This Row],[Transactional Unit Price]],"NA")</f>
        <v>NA</v>
      </c>
      <c r="L27" t="str">
        <f>IFERROR(Table1[[#This Row],[Standard Unit Price]]*Table1[[#This Row],[Quantity]],"NA")</f>
        <v>NA</v>
      </c>
      <c r="M27" t="s">
        <v>21</v>
      </c>
      <c r="N2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7" t="s">
        <v>46</v>
      </c>
      <c r="T27">
        <f>VLOOKUP(Table3[[#This Row],[Product Name]],Table4[#All],2,FALSE)</f>
        <v>13000</v>
      </c>
      <c r="U27">
        <f>IFERROR(Table3[[#This Row],[Standard Price ]]-Table1[[#This Row],[Price Difference]],"NA")</f>
        <v>12000</v>
      </c>
    </row>
    <row r="28" spans="1:21" x14ac:dyDescent="0.25">
      <c r="A28" t="s">
        <v>73</v>
      </c>
      <c r="B28" s="1">
        <v>45564</v>
      </c>
      <c r="C28" t="s">
        <v>41</v>
      </c>
      <c r="D28" t="s">
        <v>26</v>
      </c>
      <c r="E28" t="s">
        <v>19</v>
      </c>
      <c r="F28" t="s">
        <v>20</v>
      </c>
      <c r="G28" t="s">
        <v>337</v>
      </c>
      <c r="H28">
        <v>12000</v>
      </c>
      <c r="I28">
        <v>12000</v>
      </c>
      <c r="J28">
        <v>0</v>
      </c>
      <c r="K28" t="str">
        <f>IFERROR(Table1[[#This Row],[Quantity]]*Table1[[#This Row],[Transactional Unit Price]],"NA")</f>
        <v>NA</v>
      </c>
      <c r="L28" t="str">
        <f>IFERROR(Table1[[#This Row],[Standard Unit Price]]*Table1[[#This Row],[Quantity]],"NA")</f>
        <v>NA</v>
      </c>
      <c r="M28" t="s">
        <v>13</v>
      </c>
      <c r="N2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8" t="s">
        <v>26</v>
      </c>
      <c r="T28">
        <f>VLOOKUP(Table3[[#This Row],[Product Name]],Table4[#All],2,FALSE)</f>
        <v>12000</v>
      </c>
      <c r="U28">
        <f>IFERROR(Table3[[#This Row],[Standard Price ]]-Table1[[#This Row],[Price Difference]],"NA")</f>
        <v>12000</v>
      </c>
    </row>
    <row r="29" spans="1:21" x14ac:dyDescent="0.25">
      <c r="A29" t="s">
        <v>74</v>
      </c>
      <c r="B29" s="1">
        <v>45427</v>
      </c>
      <c r="C29" t="s">
        <v>65</v>
      </c>
      <c r="D29" t="s">
        <v>46</v>
      </c>
      <c r="E29" t="s">
        <v>19</v>
      </c>
      <c r="F29" t="s">
        <v>16</v>
      </c>
      <c r="G29">
        <v>4</v>
      </c>
      <c r="H29">
        <v>13000</v>
      </c>
      <c r="I29">
        <v>9200</v>
      </c>
      <c r="J29">
        <v>3800</v>
      </c>
      <c r="K29">
        <f>IFERROR(Table1[[#This Row],[Quantity]]*Table1[[#This Row],[Transactional Unit Price]],"NA")</f>
        <v>36800</v>
      </c>
      <c r="L29">
        <f>IFERROR(Table1[[#This Row],[Standard Unit Price]]*Table1[[#This Row],[Quantity]],"NA")</f>
        <v>52000</v>
      </c>
      <c r="M29" t="s">
        <v>13</v>
      </c>
      <c r="N2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9" t="s">
        <v>46</v>
      </c>
      <c r="T29">
        <f>VLOOKUP(Table3[[#This Row],[Product Name]],Table4[#All],2,FALSE)</f>
        <v>13000</v>
      </c>
      <c r="U29">
        <f>IFERROR(Table3[[#This Row],[Standard Price ]]-Table1[[#This Row],[Price Difference]],"NA")</f>
        <v>9200</v>
      </c>
    </row>
    <row r="30" spans="1:21" x14ac:dyDescent="0.25">
      <c r="A30" t="s">
        <v>75</v>
      </c>
      <c r="B30" s="1">
        <v>45645</v>
      </c>
      <c r="C30" t="s">
        <v>76</v>
      </c>
      <c r="D30" t="s">
        <v>30</v>
      </c>
      <c r="E30" t="s">
        <v>11</v>
      </c>
      <c r="F30" t="s">
        <v>31</v>
      </c>
      <c r="G30">
        <v>4</v>
      </c>
      <c r="H30">
        <v>9200</v>
      </c>
      <c r="I30">
        <v>10000</v>
      </c>
      <c r="J30">
        <v>-800</v>
      </c>
      <c r="K30">
        <f>IFERROR(Table1[[#This Row],[Quantity]]*Table1[[#This Row],[Transactional Unit Price]],"NA")</f>
        <v>40000</v>
      </c>
      <c r="L30">
        <f>IFERROR(Table1[[#This Row],[Standard Unit Price]]*Table1[[#This Row],[Quantity]],"NA")</f>
        <v>36800</v>
      </c>
      <c r="M30" t="s">
        <v>21</v>
      </c>
      <c r="N3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30" t="s">
        <v>30</v>
      </c>
      <c r="T30">
        <f>VLOOKUP(Table3[[#This Row],[Product Name]],Table4[#All],2,FALSE)</f>
        <v>9200</v>
      </c>
      <c r="U30">
        <f>IFERROR(Table3[[#This Row],[Standard Price ]]-Table1[[#This Row],[Price Difference]],"NA")</f>
        <v>10000</v>
      </c>
    </row>
    <row r="31" spans="1:21" x14ac:dyDescent="0.25">
      <c r="A31" t="s">
        <v>77</v>
      </c>
      <c r="B31" s="1">
        <v>45556</v>
      </c>
      <c r="C31" t="s">
        <v>78</v>
      </c>
      <c r="D31" t="s">
        <v>37</v>
      </c>
      <c r="E31" t="s">
        <v>11</v>
      </c>
      <c r="F31" t="s">
        <v>20</v>
      </c>
      <c r="G31">
        <v>2</v>
      </c>
      <c r="H31">
        <v>15000</v>
      </c>
      <c r="I31">
        <v>8500</v>
      </c>
      <c r="J31">
        <v>6500</v>
      </c>
      <c r="K31">
        <f>IFERROR(Table1[[#This Row],[Quantity]]*Table1[[#This Row],[Transactional Unit Price]],"NA")</f>
        <v>17000</v>
      </c>
      <c r="L31">
        <f>IFERROR(Table1[[#This Row],[Standard Unit Price]]*Table1[[#This Row],[Quantity]],"NA")</f>
        <v>30000</v>
      </c>
      <c r="M31" t="s">
        <v>369</v>
      </c>
      <c r="N3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31" t="s">
        <v>37</v>
      </c>
      <c r="T31">
        <f>VLOOKUP(Table3[[#This Row],[Product Name]],Table4[#All],2,FALSE)</f>
        <v>15000</v>
      </c>
      <c r="U31">
        <f>IFERROR(Table3[[#This Row],[Standard Price ]]-Table1[[#This Row],[Price Difference]],"NA")</f>
        <v>8500</v>
      </c>
    </row>
    <row r="32" spans="1:21" x14ac:dyDescent="0.25">
      <c r="A32" t="s">
        <v>79</v>
      </c>
      <c r="B32" s="1">
        <v>45593</v>
      </c>
      <c r="C32" t="s">
        <v>80</v>
      </c>
      <c r="D32" t="s">
        <v>46</v>
      </c>
      <c r="E32" t="s">
        <v>19</v>
      </c>
      <c r="F32" t="s">
        <v>16</v>
      </c>
      <c r="G32">
        <v>2</v>
      </c>
      <c r="H32">
        <v>13000</v>
      </c>
      <c r="I32">
        <v>8500</v>
      </c>
      <c r="J32">
        <v>4500</v>
      </c>
      <c r="K32">
        <f>IFERROR(Table1[[#This Row],[Quantity]]*Table1[[#This Row],[Transactional Unit Price]],"NA")</f>
        <v>17000</v>
      </c>
      <c r="L32">
        <f>IFERROR(Table1[[#This Row],[Standard Unit Price]]*Table1[[#This Row],[Quantity]],"NA")</f>
        <v>26000</v>
      </c>
      <c r="M32" t="s">
        <v>21</v>
      </c>
      <c r="N3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32" t="s">
        <v>46</v>
      </c>
      <c r="T32">
        <f>VLOOKUP(Table3[[#This Row],[Product Name]],Table4[#All],2,FALSE)</f>
        <v>13000</v>
      </c>
      <c r="U32">
        <f>IFERROR(Table3[[#This Row],[Standard Price ]]-Table1[[#This Row],[Price Difference]],"NA")</f>
        <v>8500</v>
      </c>
    </row>
    <row r="33" spans="1:21" x14ac:dyDescent="0.25">
      <c r="A33" t="s">
        <v>81</v>
      </c>
      <c r="B33" s="1">
        <v>45615</v>
      </c>
      <c r="C33" t="s">
        <v>82</v>
      </c>
      <c r="D33" t="s">
        <v>10</v>
      </c>
      <c r="E33" t="s">
        <v>19</v>
      </c>
      <c r="F33" t="s">
        <v>27</v>
      </c>
      <c r="G33">
        <v>1</v>
      </c>
      <c r="H33">
        <v>10000</v>
      </c>
      <c r="I33">
        <v>10000</v>
      </c>
      <c r="J33">
        <v>0</v>
      </c>
      <c r="K33">
        <f>IFERROR(Table1[[#This Row],[Quantity]]*Table1[[#This Row],[Transactional Unit Price]],"NA")</f>
        <v>10000</v>
      </c>
      <c r="L33">
        <f>IFERROR(Table1[[#This Row],[Standard Unit Price]]*Table1[[#This Row],[Quantity]],"NA")</f>
        <v>10000</v>
      </c>
      <c r="M33" t="s">
        <v>21</v>
      </c>
      <c r="N3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33" t="s">
        <v>10</v>
      </c>
      <c r="T33">
        <f>VLOOKUP(Table3[[#This Row],[Product Name]],Table4[#All],2,FALSE)</f>
        <v>10000</v>
      </c>
      <c r="U33">
        <f>IFERROR(Table3[[#This Row],[Standard Price ]]-Table1[[#This Row],[Price Difference]],"NA")</f>
        <v>10000</v>
      </c>
    </row>
    <row r="34" spans="1:21" x14ac:dyDescent="0.25">
      <c r="A34" t="s">
        <v>83</v>
      </c>
      <c r="B34" s="1">
        <v>45413</v>
      </c>
      <c r="C34" t="s">
        <v>84</v>
      </c>
      <c r="D34" t="s">
        <v>26</v>
      </c>
      <c r="E34" t="s">
        <v>11</v>
      </c>
      <c r="F34" t="s">
        <v>42</v>
      </c>
      <c r="G34">
        <v>2</v>
      </c>
      <c r="H34">
        <v>12000</v>
      </c>
      <c r="I34" t="s">
        <v>337</v>
      </c>
      <c r="J34" t="s">
        <v>337</v>
      </c>
      <c r="K34" t="str">
        <f>IFERROR(Table1[[#This Row],[Quantity]]*Table1[[#This Row],[Transactional Unit Price]],"NA")</f>
        <v>NA</v>
      </c>
      <c r="L34">
        <f>IFERROR(Table1[[#This Row],[Standard Unit Price]]*Table1[[#This Row],[Quantity]],"NA")</f>
        <v>24000</v>
      </c>
      <c r="M34" t="s">
        <v>13</v>
      </c>
      <c r="N3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34" t="s">
        <v>26</v>
      </c>
      <c r="T34">
        <f>VLOOKUP(Table3[[#This Row],[Product Name]],Table4[#All],2,FALSE)</f>
        <v>12000</v>
      </c>
      <c r="U34" t="str">
        <f>IFERROR(Table3[[#This Row],[Standard Price ]]-Table1[[#This Row],[Price Difference]],"NA")</f>
        <v>NA</v>
      </c>
    </row>
    <row r="35" spans="1:21" x14ac:dyDescent="0.25">
      <c r="A35" t="s">
        <v>85</v>
      </c>
      <c r="B35" s="1">
        <v>45584</v>
      </c>
      <c r="C35" t="s">
        <v>29</v>
      </c>
      <c r="D35" t="s">
        <v>46</v>
      </c>
      <c r="E35" t="s">
        <v>57</v>
      </c>
      <c r="F35" t="s">
        <v>20</v>
      </c>
      <c r="G35">
        <v>4</v>
      </c>
      <c r="H35">
        <v>13000</v>
      </c>
      <c r="I35">
        <v>12000</v>
      </c>
      <c r="J35">
        <v>1000</v>
      </c>
      <c r="K35">
        <f>IFERROR(Table1[[#This Row],[Quantity]]*Table1[[#This Row],[Transactional Unit Price]],"NA")</f>
        <v>48000</v>
      </c>
      <c r="L35">
        <f>IFERROR(Table1[[#This Row],[Standard Unit Price]]*Table1[[#This Row],[Quantity]],"NA")</f>
        <v>52000</v>
      </c>
      <c r="M35" t="s">
        <v>13</v>
      </c>
      <c r="N3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35" t="s">
        <v>46</v>
      </c>
      <c r="T35">
        <f>VLOOKUP(Table3[[#This Row],[Product Name]],Table4[#All],2,FALSE)</f>
        <v>13000</v>
      </c>
      <c r="U35">
        <f>IFERROR(Table3[[#This Row],[Standard Price ]]-Table1[[#This Row],[Price Difference]],"NA")</f>
        <v>12000</v>
      </c>
    </row>
    <row r="36" spans="1:21" x14ac:dyDescent="0.25">
      <c r="A36" t="s">
        <v>86</v>
      </c>
      <c r="B36" s="1">
        <v>45341</v>
      </c>
      <c r="C36" t="s">
        <v>87</v>
      </c>
      <c r="D36" t="s">
        <v>10</v>
      </c>
      <c r="E36" t="s">
        <v>57</v>
      </c>
      <c r="F36" t="s">
        <v>31</v>
      </c>
      <c r="G36">
        <v>4</v>
      </c>
      <c r="H36">
        <v>10000</v>
      </c>
      <c r="I36">
        <v>12000</v>
      </c>
      <c r="J36">
        <v>-2000</v>
      </c>
      <c r="K36">
        <f>IFERROR(Table1[[#This Row],[Quantity]]*Table1[[#This Row],[Transactional Unit Price]],"NA")</f>
        <v>48000</v>
      </c>
      <c r="L36">
        <f>IFERROR(Table1[[#This Row],[Standard Unit Price]]*Table1[[#This Row],[Quantity]],"NA")</f>
        <v>40000</v>
      </c>
      <c r="M36" t="s">
        <v>21</v>
      </c>
      <c r="N3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36" t="s">
        <v>10</v>
      </c>
      <c r="T36">
        <f>VLOOKUP(Table3[[#This Row],[Product Name]],Table4[#All],2,FALSE)</f>
        <v>10000</v>
      </c>
      <c r="U36">
        <f>IFERROR(Table3[[#This Row],[Standard Price ]]-Table1[[#This Row],[Price Difference]],"NA")</f>
        <v>12000</v>
      </c>
    </row>
    <row r="37" spans="1:21" x14ac:dyDescent="0.25">
      <c r="A37" t="s">
        <v>88</v>
      </c>
      <c r="B37" s="1">
        <v>45319</v>
      </c>
      <c r="C37" t="s">
        <v>84</v>
      </c>
      <c r="D37" t="s">
        <v>10</v>
      </c>
      <c r="E37" t="s">
        <v>11</v>
      </c>
      <c r="F37" t="s">
        <v>12</v>
      </c>
      <c r="G37">
        <v>1</v>
      </c>
      <c r="H37">
        <v>10000</v>
      </c>
      <c r="I37">
        <v>8500</v>
      </c>
      <c r="J37">
        <v>1500</v>
      </c>
      <c r="K37">
        <f>IFERROR(Table1[[#This Row],[Quantity]]*Table1[[#This Row],[Transactional Unit Price]],"NA")</f>
        <v>8500</v>
      </c>
      <c r="L37">
        <f>IFERROR(Table1[[#This Row],[Standard Unit Price]]*Table1[[#This Row],[Quantity]],"NA")</f>
        <v>10000</v>
      </c>
      <c r="M37" t="s">
        <v>21</v>
      </c>
      <c r="N3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37" t="s">
        <v>10</v>
      </c>
      <c r="T37">
        <f>VLOOKUP(Table3[[#This Row],[Product Name]],Table4[#All],2,FALSE)</f>
        <v>10000</v>
      </c>
      <c r="U37">
        <f>IFERROR(Table3[[#This Row],[Standard Price ]]-Table1[[#This Row],[Price Difference]],"NA")</f>
        <v>8500</v>
      </c>
    </row>
    <row r="38" spans="1:21" x14ac:dyDescent="0.25">
      <c r="A38" t="s">
        <v>89</v>
      </c>
      <c r="B38" s="1">
        <v>45465</v>
      </c>
      <c r="C38" t="s">
        <v>33</v>
      </c>
      <c r="D38" t="s">
        <v>26</v>
      </c>
      <c r="E38" t="s">
        <v>19</v>
      </c>
      <c r="F38" t="s">
        <v>27</v>
      </c>
      <c r="G38">
        <v>2</v>
      </c>
      <c r="H38">
        <v>12000</v>
      </c>
      <c r="I38">
        <v>9200</v>
      </c>
      <c r="J38">
        <v>2800</v>
      </c>
      <c r="K38">
        <f>IFERROR(Table1[[#This Row],[Quantity]]*Table1[[#This Row],[Transactional Unit Price]],"NA")</f>
        <v>18400</v>
      </c>
      <c r="L38">
        <f>IFERROR(Table1[[#This Row],[Standard Unit Price]]*Table1[[#This Row],[Quantity]],"NA")</f>
        <v>24000</v>
      </c>
      <c r="M38" t="s">
        <v>13</v>
      </c>
      <c r="N3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38" t="s">
        <v>26</v>
      </c>
      <c r="T38">
        <f>VLOOKUP(Table3[[#This Row],[Product Name]],Table4[#All],2,FALSE)</f>
        <v>12000</v>
      </c>
      <c r="U38">
        <f>IFERROR(Table3[[#This Row],[Standard Price ]]-Table1[[#This Row],[Price Difference]],"NA")</f>
        <v>9200</v>
      </c>
    </row>
    <row r="39" spans="1:21" x14ac:dyDescent="0.25">
      <c r="A39" t="s">
        <v>90</v>
      </c>
      <c r="B39" s="1">
        <v>45521</v>
      </c>
      <c r="C39" t="s">
        <v>87</v>
      </c>
      <c r="D39" t="s">
        <v>30</v>
      </c>
      <c r="E39" t="s">
        <v>57</v>
      </c>
      <c r="F39" t="s">
        <v>20</v>
      </c>
      <c r="G39">
        <v>3</v>
      </c>
      <c r="H39">
        <v>9200</v>
      </c>
      <c r="I39">
        <v>12000</v>
      </c>
      <c r="J39">
        <v>-2800</v>
      </c>
      <c r="K39">
        <f>IFERROR(Table1[[#This Row],[Quantity]]*Table1[[#This Row],[Transactional Unit Price]],"NA")</f>
        <v>36000</v>
      </c>
      <c r="L39">
        <f>IFERROR(Table1[[#This Row],[Standard Unit Price]]*Table1[[#This Row],[Quantity]],"NA")</f>
        <v>27600</v>
      </c>
      <c r="M39" t="s">
        <v>13</v>
      </c>
      <c r="N3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39" t="s">
        <v>30</v>
      </c>
      <c r="T39">
        <f>VLOOKUP(Table3[[#This Row],[Product Name]],Table4[#All],2,FALSE)</f>
        <v>9200</v>
      </c>
      <c r="U39">
        <f>IFERROR(Table3[[#This Row],[Standard Price ]]-Table1[[#This Row],[Price Difference]],"NA")</f>
        <v>12000</v>
      </c>
    </row>
    <row r="40" spans="1:21" x14ac:dyDescent="0.25">
      <c r="A40" t="s">
        <v>91</v>
      </c>
      <c r="B40" s="1">
        <v>45330</v>
      </c>
      <c r="C40" t="s">
        <v>92</v>
      </c>
      <c r="D40" t="s">
        <v>37</v>
      </c>
      <c r="E40" t="s">
        <v>19</v>
      </c>
      <c r="F40" t="s">
        <v>16</v>
      </c>
      <c r="G40">
        <v>1</v>
      </c>
      <c r="H40">
        <v>15000</v>
      </c>
      <c r="I40">
        <v>8500</v>
      </c>
      <c r="J40">
        <v>6500</v>
      </c>
      <c r="K40">
        <f>IFERROR(Table1[[#This Row],[Quantity]]*Table1[[#This Row],[Transactional Unit Price]],"NA")</f>
        <v>8500</v>
      </c>
      <c r="L40">
        <f>IFERROR(Table1[[#This Row],[Standard Unit Price]]*Table1[[#This Row],[Quantity]],"NA")</f>
        <v>15000</v>
      </c>
      <c r="M40" t="s">
        <v>13</v>
      </c>
      <c r="N4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40" t="s">
        <v>37</v>
      </c>
      <c r="T40">
        <f>VLOOKUP(Table3[[#This Row],[Product Name]],Table4[#All],2,FALSE)</f>
        <v>15000</v>
      </c>
      <c r="U40">
        <f>IFERROR(Table3[[#This Row],[Standard Price ]]-Table1[[#This Row],[Price Difference]],"NA")</f>
        <v>8500</v>
      </c>
    </row>
    <row r="41" spans="1:21" x14ac:dyDescent="0.25">
      <c r="A41" t="s">
        <v>93</v>
      </c>
      <c r="B41" s="1">
        <v>45299</v>
      </c>
      <c r="C41" t="s">
        <v>94</v>
      </c>
      <c r="D41" t="s">
        <v>10</v>
      </c>
      <c r="E41" t="s">
        <v>19</v>
      </c>
      <c r="F41" t="s">
        <v>20</v>
      </c>
      <c r="G41">
        <v>2</v>
      </c>
      <c r="H41">
        <v>10000</v>
      </c>
      <c r="I41">
        <v>12000</v>
      </c>
      <c r="J41">
        <v>-2000</v>
      </c>
      <c r="K41">
        <f>IFERROR(Table1[[#This Row],[Quantity]]*Table1[[#This Row],[Transactional Unit Price]],"NA")</f>
        <v>24000</v>
      </c>
      <c r="L41">
        <f>IFERROR(Table1[[#This Row],[Standard Unit Price]]*Table1[[#This Row],[Quantity]],"NA")</f>
        <v>20000</v>
      </c>
      <c r="M41" t="s">
        <v>21</v>
      </c>
      <c r="N4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41" t="s">
        <v>10</v>
      </c>
      <c r="T41">
        <f>VLOOKUP(Table3[[#This Row],[Product Name]],Table4[#All],2,FALSE)</f>
        <v>10000</v>
      </c>
      <c r="U41">
        <f>IFERROR(Table3[[#This Row],[Standard Price ]]-Table1[[#This Row],[Price Difference]],"NA")</f>
        <v>12000</v>
      </c>
    </row>
    <row r="42" spans="1:21" x14ac:dyDescent="0.25">
      <c r="A42" t="s">
        <v>95</v>
      </c>
      <c r="B42" s="1">
        <v>45401</v>
      </c>
      <c r="C42" t="s">
        <v>59</v>
      </c>
      <c r="D42" t="s">
        <v>26</v>
      </c>
      <c r="E42" t="s">
        <v>57</v>
      </c>
      <c r="F42" t="s">
        <v>27</v>
      </c>
      <c r="G42">
        <v>2</v>
      </c>
      <c r="H42">
        <v>12000</v>
      </c>
      <c r="I42">
        <v>12000</v>
      </c>
      <c r="J42">
        <v>0</v>
      </c>
      <c r="K42">
        <f>IFERROR(Table1[[#This Row],[Quantity]]*Table1[[#This Row],[Transactional Unit Price]],"NA")</f>
        <v>24000</v>
      </c>
      <c r="L42">
        <f>IFERROR(Table1[[#This Row],[Standard Unit Price]]*Table1[[#This Row],[Quantity]],"NA")</f>
        <v>24000</v>
      </c>
      <c r="M42" t="s">
        <v>21</v>
      </c>
      <c r="N4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42" t="s">
        <v>26</v>
      </c>
      <c r="T42">
        <f>VLOOKUP(Table3[[#This Row],[Product Name]],Table4[#All],2,FALSE)</f>
        <v>12000</v>
      </c>
      <c r="U42">
        <f>IFERROR(Table3[[#This Row],[Standard Price ]]-Table1[[#This Row],[Price Difference]],"NA")</f>
        <v>12000</v>
      </c>
    </row>
    <row r="43" spans="1:21" x14ac:dyDescent="0.25">
      <c r="A43" t="s">
        <v>96</v>
      </c>
      <c r="B43" s="1">
        <v>45427</v>
      </c>
      <c r="C43" t="s">
        <v>97</v>
      </c>
      <c r="D43" t="s">
        <v>26</v>
      </c>
      <c r="E43" t="s">
        <v>19</v>
      </c>
      <c r="F43" t="s">
        <v>42</v>
      </c>
      <c r="G43">
        <v>3</v>
      </c>
      <c r="H43">
        <v>12000</v>
      </c>
      <c r="I43">
        <v>12000</v>
      </c>
      <c r="J43">
        <v>0</v>
      </c>
      <c r="K43">
        <f>IFERROR(Table1[[#This Row],[Quantity]]*Table1[[#This Row],[Transactional Unit Price]],"NA")</f>
        <v>36000</v>
      </c>
      <c r="L43">
        <f>IFERROR(Table1[[#This Row],[Standard Unit Price]]*Table1[[#This Row],[Quantity]],"NA")</f>
        <v>36000</v>
      </c>
      <c r="M43" t="s">
        <v>13</v>
      </c>
      <c r="N4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43" t="s">
        <v>26</v>
      </c>
      <c r="T43">
        <f>VLOOKUP(Table3[[#This Row],[Product Name]],Table4[#All],2,FALSE)</f>
        <v>12000</v>
      </c>
      <c r="U43">
        <f>IFERROR(Table3[[#This Row],[Standard Price ]]-Table1[[#This Row],[Price Difference]],"NA")</f>
        <v>12000</v>
      </c>
    </row>
    <row r="44" spans="1:21" x14ac:dyDescent="0.25">
      <c r="A44" t="s">
        <v>98</v>
      </c>
      <c r="B44" s="1">
        <v>45541</v>
      </c>
      <c r="C44" t="s">
        <v>99</v>
      </c>
      <c r="D44" t="s">
        <v>30</v>
      </c>
      <c r="E44" t="s">
        <v>19</v>
      </c>
      <c r="F44" t="s">
        <v>31</v>
      </c>
      <c r="G44">
        <v>2</v>
      </c>
      <c r="H44">
        <v>9200</v>
      </c>
      <c r="I44">
        <v>8500</v>
      </c>
      <c r="J44">
        <v>700</v>
      </c>
      <c r="K44">
        <f>IFERROR(Table1[[#This Row],[Quantity]]*Table1[[#This Row],[Transactional Unit Price]],"NA")</f>
        <v>17000</v>
      </c>
      <c r="L44">
        <f>IFERROR(Table1[[#This Row],[Standard Unit Price]]*Table1[[#This Row],[Quantity]],"NA")</f>
        <v>18400</v>
      </c>
      <c r="M44" t="s">
        <v>13</v>
      </c>
      <c r="N4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44" t="s">
        <v>30</v>
      </c>
      <c r="T44">
        <f>VLOOKUP(Table3[[#This Row],[Product Name]],Table4[#All],2,FALSE)</f>
        <v>9200</v>
      </c>
      <c r="U44">
        <f>IFERROR(Table3[[#This Row],[Standard Price ]]-Table1[[#This Row],[Price Difference]],"NA")</f>
        <v>8500</v>
      </c>
    </row>
    <row r="45" spans="1:21" x14ac:dyDescent="0.25">
      <c r="A45" t="s">
        <v>100</v>
      </c>
      <c r="B45" s="1">
        <v>45569</v>
      </c>
      <c r="C45" t="s">
        <v>94</v>
      </c>
      <c r="D45" t="s">
        <v>10</v>
      </c>
      <c r="E45" t="s">
        <v>11</v>
      </c>
      <c r="F45" t="s">
        <v>31</v>
      </c>
      <c r="G45">
        <v>1</v>
      </c>
      <c r="H45">
        <v>10000</v>
      </c>
      <c r="I45">
        <v>8500</v>
      </c>
      <c r="J45">
        <v>1500</v>
      </c>
      <c r="K45">
        <f>IFERROR(Table1[[#This Row],[Quantity]]*Table1[[#This Row],[Transactional Unit Price]],"NA")</f>
        <v>8500</v>
      </c>
      <c r="L45">
        <f>IFERROR(Table1[[#This Row],[Standard Unit Price]]*Table1[[#This Row],[Quantity]],"NA")</f>
        <v>10000</v>
      </c>
      <c r="M45" t="s">
        <v>13</v>
      </c>
      <c r="N4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45" t="s">
        <v>10</v>
      </c>
      <c r="T45">
        <f>VLOOKUP(Table3[[#This Row],[Product Name]],Table4[#All],2,FALSE)</f>
        <v>10000</v>
      </c>
      <c r="U45">
        <f>IFERROR(Table3[[#This Row],[Standard Price ]]-Table1[[#This Row],[Price Difference]],"NA")</f>
        <v>8500</v>
      </c>
    </row>
    <row r="46" spans="1:21" x14ac:dyDescent="0.25">
      <c r="A46" t="s">
        <v>101</v>
      </c>
      <c r="B46" s="1">
        <v>45549</v>
      </c>
      <c r="C46" t="s">
        <v>102</v>
      </c>
      <c r="D46" t="s">
        <v>26</v>
      </c>
      <c r="E46" t="s">
        <v>49</v>
      </c>
      <c r="F46" t="s">
        <v>20</v>
      </c>
      <c r="G46">
        <v>1</v>
      </c>
      <c r="H46">
        <v>12000</v>
      </c>
      <c r="I46" t="s">
        <v>337</v>
      </c>
      <c r="J46" t="s">
        <v>337</v>
      </c>
      <c r="K46" t="str">
        <f>IFERROR(Table1[[#This Row],[Quantity]]*Table1[[#This Row],[Transactional Unit Price]],"NA")</f>
        <v>NA</v>
      </c>
      <c r="L46">
        <f>IFERROR(Table1[[#This Row],[Standard Unit Price]]*Table1[[#This Row],[Quantity]],"NA")</f>
        <v>12000</v>
      </c>
      <c r="M46" t="s">
        <v>21</v>
      </c>
      <c r="N4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46" t="s">
        <v>26</v>
      </c>
      <c r="T46">
        <f>VLOOKUP(Table3[[#This Row],[Product Name]],Table4[#All],2,FALSE)</f>
        <v>12000</v>
      </c>
      <c r="U46" t="str">
        <f>IFERROR(Table3[[#This Row],[Standard Price ]]-Table1[[#This Row],[Price Difference]],"NA")</f>
        <v>NA</v>
      </c>
    </row>
    <row r="47" spans="1:21" x14ac:dyDescent="0.25">
      <c r="A47" t="s">
        <v>103</v>
      </c>
      <c r="B47" s="1">
        <v>45387</v>
      </c>
      <c r="C47" t="s">
        <v>104</v>
      </c>
      <c r="D47" t="s">
        <v>10</v>
      </c>
      <c r="E47" t="s">
        <v>49</v>
      </c>
      <c r="F47" t="s">
        <v>27</v>
      </c>
      <c r="G47" t="s">
        <v>337</v>
      </c>
      <c r="H47">
        <v>10000</v>
      </c>
      <c r="I47">
        <v>9200</v>
      </c>
      <c r="J47">
        <v>800</v>
      </c>
      <c r="K47" t="str">
        <f>IFERROR(Table1[[#This Row],[Quantity]]*Table1[[#This Row],[Transactional Unit Price]],"NA")</f>
        <v>NA</v>
      </c>
      <c r="L47" t="str">
        <f>IFERROR(Table1[[#This Row],[Standard Unit Price]]*Table1[[#This Row],[Quantity]],"NA")</f>
        <v>NA</v>
      </c>
      <c r="M47" t="s">
        <v>21</v>
      </c>
      <c r="N4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47" t="s">
        <v>10</v>
      </c>
      <c r="T47">
        <f>VLOOKUP(Table3[[#This Row],[Product Name]],Table4[#All],2,FALSE)</f>
        <v>10000</v>
      </c>
      <c r="U47">
        <f>IFERROR(Table3[[#This Row],[Standard Price ]]-Table1[[#This Row],[Price Difference]],"NA")</f>
        <v>9200</v>
      </c>
    </row>
    <row r="48" spans="1:21" x14ac:dyDescent="0.25">
      <c r="A48" t="s">
        <v>105</v>
      </c>
      <c r="B48" s="1">
        <v>45583</v>
      </c>
      <c r="C48" t="s">
        <v>106</v>
      </c>
      <c r="D48" t="s">
        <v>30</v>
      </c>
      <c r="E48" t="s">
        <v>49</v>
      </c>
      <c r="F48" t="s">
        <v>16</v>
      </c>
      <c r="G48">
        <v>1</v>
      </c>
      <c r="H48">
        <v>9200</v>
      </c>
      <c r="I48" t="s">
        <v>337</v>
      </c>
      <c r="J48" t="s">
        <v>337</v>
      </c>
      <c r="K48" t="str">
        <f>IFERROR(Table1[[#This Row],[Quantity]]*Table1[[#This Row],[Transactional Unit Price]],"NA")</f>
        <v>NA</v>
      </c>
      <c r="L48">
        <f>IFERROR(Table1[[#This Row],[Standard Unit Price]]*Table1[[#This Row],[Quantity]],"NA")</f>
        <v>9200</v>
      </c>
      <c r="M48" t="s">
        <v>21</v>
      </c>
      <c r="N4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48" t="s">
        <v>30</v>
      </c>
      <c r="T48">
        <f>VLOOKUP(Table3[[#This Row],[Product Name]],Table4[#All],2,FALSE)</f>
        <v>9200</v>
      </c>
      <c r="U48" t="str">
        <f>IFERROR(Table3[[#This Row],[Standard Price ]]-Table1[[#This Row],[Price Difference]],"NA")</f>
        <v>NA</v>
      </c>
    </row>
    <row r="49" spans="1:21" x14ac:dyDescent="0.25">
      <c r="A49" t="s">
        <v>107</v>
      </c>
      <c r="B49" s="1">
        <v>45628</v>
      </c>
      <c r="C49" t="s">
        <v>97</v>
      </c>
      <c r="D49" t="s">
        <v>46</v>
      </c>
      <c r="E49" t="s">
        <v>49</v>
      </c>
      <c r="F49" t="s">
        <v>16</v>
      </c>
      <c r="G49">
        <v>3</v>
      </c>
      <c r="H49">
        <v>13000</v>
      </c>
      <c r="I49">
        <v>10000</v>
      </c>
      <c r="J49">
        <v>3000</v>
      </c>
      <c r="K49">
        <f>IFERROR(Table1[[#This Row],[Quantity]]*Table1[[#This Row],[Transactional Unit Price]],"NA")</f>
        <v>30000</v>
      </c>
      <c r="L49">
        <f>IFERROR(Table1[[#This Row],[Standard Unit Price]]*Table1[[#This Row],[Quantity]],"NA")</f>
        <v>39000</v>
      </c>
      <c r="M49" t="s">
        <v>13</v>
      </c>
      <c r="N4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49" t="s">
        <v>46</v>
      </c>
      <c r="T49">
        <f>VLOOKUP(Table3[[#This Row],[Product Name]],Table4[#All],2,FALSE)</f>
        <v>13000</v>
      </c>
      <c r="U49">
        <f>IFERROR(Table3[[#This Row],[Standard Price ]]-Table1[[#This Row],[Price Difference]],"NA")</f>
        <v>10000</v>
      </c>
    </row>
    <row r="50" spans="1:21" x14ac:dyDescent="0.25">
      <c r="A50" t="s">
        <v>108</v>
      </c>
      <c r="B50" s="1">
        <v>45452</v>
      </c>
      <c r="C50" t="s">
        <v>109</v>
      </c>
      <c r="D50" t="s">
        <v>30</v>
      </c>
      <c r="E50" t="s">
        <v>34</v>
      </c>
      <c r="F50" t="s">
        <v>42</v>
      </c>
      <c r="G50">
        <v>2</v>
      </c>
      <c r="H50">
        <v>9200</v>
      </c>
      <c r="I50">
        <v>10000</v>
      </c>
      <c r="J50">
        <v>-800</v>
      </c>
      <c r="K50">
        <f>IFERROR(Table1[[#This Row],[Quantity]]*Table1[[#This Row],[Transactional Unit Price]],"NA")</f>
        <v>20000</v>
      </c>
      <c r="L50">
        <f>IFERROR(Table1[[#This Row],[Standard Unit Price]]*Table1[[#This Row],[Quantity]],"NA")</f>
        <v>18400</v>
      </c>
      <c r="M50" t="s">
        <v>21</v>
      </c>
      <c r="N5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50" t="s">
        <v>30</v>
      </c>
      <c r="T50">
        <f>VLOOKUP(Table3[[#This Row],[Product Name]],Table4[#All],2,FALSE)</f>
        <v>9200</v>
      </c>
      <c r="U50">
        <f>IFERROR(Table3[[#This Row],[Standard Price ]]-Table1[[#This Row],[Price Difference]],"NA")</f>
        <v>10000</v>
      </c>
    </row>
    <row r="51" spans="1:21" x14ac:dyDescent="0.25">
      <c r="A51" t="s">
        <v>110</v>
      </c>
      <c r="B51" s="1">
        <v>45329</v>
      </c>
      <c r="C51" t="s">
        <v>33</v>
      </c>
      <c r="D51" t="s">
        <v>10</v>
      </c>
      <c r="E51" t="s">
        <v>57</v>
      </c>
      <c r="F51" t="s">
        <v>16</v>
      </c>
      <c r="G51">
        <v>5</v>
      </c>
      <c r="H51">
        <v>10000</v>
      </c>
      <c r="I51">
        <v>8500</v>
      </c>
      <c r="J51">
        <v>1500</v>
      </c>
      <c r="K51">
        <f>IFERROR(Table1[[#This Row],[Quantity]]*Table1[[#This Row],[Transactional Unit Price]],"NA")</f>
        <v>42500</v>
      </c>
      <c r="L51">
        <f>IFERROR(Table1[[#This Row],[Standard Unit Price]]*Table1[[#This Row],[Quantity]],"NA")</f>
        <v>50000</v>
      </c>
      <c r="M51" t="s">
        <v>21</v>
      </c>
      <c r="N5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51" t="s">
        <v>10</v>
      </c>
      <c r="T51">
        <f>VLOOKUP(Table3[[#This Row],[Product Name]],Table4[#All],2,FALSE)</f>
        <v>10000</v>
      </c>
      <c r="U51">
        <f>IFERROR(Table3[[#This Row],[Standard Price ]]-Table1[[#This Row],[Price Difference]],"NA")</f>
        <v>8500</v>
      </c>
    </row>
    <row r="52" spans="1:21" x14ac:dyDescent="0.25">
      <c r="A52" t="s">
        <v>111</v>
      </c>
      <c r="B52" s="1">
        <v>45401</v>
      </c>
      <c r="C52" t="s">
        <v>112</v>
      </c>
      <c r="D52" t="s">
        <v>46</v>
      </c>
      <c r="E52" t="s">
        <v>34</v>
      </c>
      <c r="F52" t="s">
        <v>20</v>
      </c>
      <c r="G52">
        <v>3</v>
      </c>
      <c r="H52">
        <v>13000</v>
      </c>
      <c r="I52">
        <v>8500</v>
      </c>
      <c r="J52">
        <v>4500</v>
      </c>
      <c r="K52">
        <f>IFERROR(Table1[[#This Row],[Quantity]]*Table1[[#This Row],[Transactional Unit Price]],"NA")</f>
        <v>25500</v>
      </c>
      <c r="L52">
        <f>IFERROR(Table1[[#This Row],[Standard Unit Price]]*Table1[[#This Row],[Quantity]],"NA")</f>
        <v>39000</v>
      </c>
      <c r="M52" t="s">
        <v>13</v>
      </c>
      <c r="N5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52" t="s">
        <v>46</v>
      </c>
      <c r="T52">
        <f>VLOOKUP(Table3[[#This Row],[Product Name]],Table4[#All],2,FALSE)</f>
        <v>13000</v>
      </c>
      <c r="U52">
        <f>IFERROR(Table3[[#This Row],[Standard Price ]]-Table1[[#This Row],[Price Difference]],"NA")</f>
        <v>8500</v>
      </c>
    </row>
    <row r="53" spans="1:21" x14ac:dyDescent="0.25">
      <c r="A53" t="s">
        <v>113</v>
      </c>
      <c r="B53" s="1">
        <v>45437</v>
      </c>
      <c r="C53" t="s">
        <v>114</v>
      </c>
      <c r="D53" t="s">
        <v>30</v>
      </c>
      <c r="E53" t="s">
        <v>57</v>
      </c>
      <c r="F53" t="s">
        <v>16</v>
      </c>
      <c r="G53" t="s">
        <v>337</v>
      </c>
      <c r="H53">
        <v>9200</v>
      </c>
      <c r="I53">
        <v>10000</v>
      </c>
      <c r="J53">
        <v>-800</v>
      </c>
      <c r="K53" t="str">
        <f>IFERROR(Table1[[#This Row],[Quantity]]*Table1[[#This Row],[Transactional Unit Price]],"NA")</f>
        <v>NA</v>
      </c>
      <c r="L53" t="str">
        <f>IFERROR(Table1[[#This Row],[Standard Unit Price]]*Table1[[#This Row],[Quantity]],"NA")</f>
        <v>NA</v>
      </c>
      <c r="M53" t="s">
        <v>13</v>
      </c>
      <c r="N5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53" t="s">
        <v>30</v>
      </c>
      <c r="T53">
        <f>VLOOKUP(Table3[[#This Row],[Product Name]],Table4[#All],2,FALSE)</f>
        <v>9200</v>
      </c>
      <c r="U53">
        <f>IFERROR(Table3[[#This Row],[Standard Price ]]-Table1[[#This Row],[Price Difference]],"NA")</f>
        <v>10000</v>
      </c>
    </row>
    <row r="54" spans="1:21" x14ac:dyDescent="0.25">
      <c r="A54" t="s">
        <v>115</v>
      </c>
      <c r="B54" s="1">
        <v>45626</v>
      </c>
      <c r="C54" t="s">
        <v>53</v>
      </c>
      <c r="D54" t="s">
        <v>46</v>
      </c>
      <c r="E54" t="s">
        <v>11</v>
      </c>
      <c r="F54" t="s">
        <v>12</v>
      </c>
      <c r="G54">
        <v>5</v>
      </c>
      <c r="H54">
        <v>13000</v>
      </c>
      <c r="I54">
        <v>10000</v>
      </c>
      <c r="J54">
        <v>3000</v>
      </c>
      <c r="K54">
        <f>IFERROR(Table1[[#This Row],[Quantity]]*Table1[[#This Row],[Transactional Unit Price]],"NA")</f>
        <v>50000</v>
      </c>
      <c r="L54">
        <f>IFERROR(Table1[[#This Row],[Standard Unit Price]]*Table1[[#This Row],[Quantity]],"NA")</f>
        <v>65000</v>
      </c>
      <c r="M54" t="s">
        <v>21</v>
      </c>
      <c r="N5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54" t="s">
        <v>46</v>
      </c>
      <c r="T54">
        <f>VLOOKUP(Table3[[#This Row],[Product Name]],Table4[#All],2,FALSE)</f>
        <v>13000</v>
      </c>
      <c r="U54">
        <f>IFERROR(Table3[[#This Row],[Standard Price ]]-Table1[[#This Row],[Price Difference]],"NA")</f>
        <v>10000</v>
      </c>
    </row>
    <row r="55" spans="1:21" x14ac:dyDescent="0.25">
      <c r="A55" t="s">
        <v>116</v>
      </c>
      <c r="B55" s="1">
        <v>45360</v>
      </c>
      <c r="C55" t="s">
        <v>25</v>
      </c>
      <c r="D55" t="s">
        <v>26</v>
      </c>
      <c r="E55" t="s">
        <v>11</v>
      </c>
      <c r="F55" t="s">
        <v>27</v>
      </c>
      <c r="G55" t="s">
        <v>337</v>
      </c>
      <c r="H55">
        <v>12000</v>
      </c>
      <c r="I55" t="s">
        <v>337</v>
      </c>
      <c r="J55" t="s">
        <v>337</v>
      </c>
      <c r="K55" t="str">
        <f>IFERROR(Table1[[#This Row],[Quantity]]*Table1[[#This Row],[Transactional Unit Price]],"NA")</f>
        <v>NA</v>
      </c>
      <c r="L55" t="str">
        <f>IFERROR(Table1[[#This Row],[Standard Unit Price]]*Table1[[#This Row],[Quantity]],"NA")</f>
        <v>NA</v>
      </c>
      <c r="M55" t="s">
        <v>13</v>
      </c>
      <c r="N5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55" t="s">
        <v>26</v>
      </c>
      <c r="T55">
        <f>VLOOKUP(Table3[[#This Row],[Product Name]],Table4[#All],2,FALSE)</f>
        <v>12000</v>
      </c>
      <c r="U55" t="str">
        <f>IFERROR(Table3[[#This Row],[Standard Price ]]-Table1[[#This Row],[Price Difference]],"NA")</f>
        <v>NA</v>
      </c>
    </row>
    <row r="56" spans="1:21" x14ac:dyDescent="0.25">
      <c r="A56" t="s">
        <v>117</v>
      </c>
      <c r="B56" s="1">
        <v>45436</v>
      </c>
      <c r="C56" t="s">
        <v>82</v>
      </c>
      <c r="D56" t="s">
        <v>46</v>
      </c>
      <c r="E56" t="s">
        <v>19</v>
      </c>
      <c r="F56" t="s">
        <v>12</v>
      </c>
      <c r="G56">
        <v>3</v>
      </c>
      <c r="H56">
        <v>13000</v>
      </c>
      <c r="I56">
        <v>9200</v>
      </c>
      <c r="J56">
        <v>3800</v>
      </c>
      <c r="K56">
        <f>IFERROR(Table1[[#This Row],[Quantity]]*Table1[[#This Row],[Transactional Unit Price]],"NA")</f>
        <v>27600</v>
      </c>
      <c r="L56">
        <f>IFERROR(Table1[[#This Row],[Standard Unit Price]]*Table1[[#This Row],[Quantity]],"NA")</f>
        <v>39000</v>
      </c>
      <c r="M56" t="s">
        <v>369</v>
      </c>
      <c r="N5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56" t="s">
        <v>46</v>
      </c>
      <c r="T56">
        <f>VLOOKUP(Table3[[#This Row],[Product Name]],Table4[#All],2,FALSE)</f>
        <v>13000</v>
      </c>
      <c r="U56">
        <f>IFERROR(Table3[[#This Row],[Standard Price ]]-Table1[[#This Row],[Price Difference]],"NA")</f>
        <v>9200</v>
      </c>
    </row>
    <row r="57" spans="1:21" x14ac:dyDescent="0.25">
      <c r="A57" t="s">
        <v>118</v>
      </c>
      <c r="B57" s="1">
        <v>45542</v>
      </c>
      <c r="C57" t="s">
        <v>15</v>
      </c>
      <c r="D57" t="s">
        <v>26</v>
      </c>
      <c r="E57" t="s">
        <v>19</v>
      </c>
      <c r="F57" t="s">
        <v>27</v>
      </c>
      <c r="G57">
        <v>1</v>
      </c>
      <c r="H57">
        <v>12000</v>
      </c>
      <c r="I57">
        <v>12000</v>
      </c>
      <c r="J57">
        <v>0</v>
      </c>
      <c r="K57">
        <f>IFERROR(Table1[[#This Row],[Quantity]]*Table1[[#This Row],[Transactional Unit Price]],"NA")</f>
        <v>12000</v>
      </c>
      <c r="L57">
        <f>IFERROR(Table1[[#This Row],[Standard Unit Price]]*Table1[[#This Row],[Quantity]],"NA")</f>
        <v>12000</v>
      </c>
      <c r="M57" t="s">
        <v>369</v>
      </c>
      <c r="N5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57" t="s">
        <v>26</v>
      </c>
      <c r="T57">
        <f>VLOOKUP(Table3[[#This Row],[Product Name]],Table4[#All],2,FALSE)</f>
        <v>12000</v>
      </c>
      <c r="U57">
        <f>IFERROR(Table3[[#This Row],[Standard Price ]]-Table1[[#This Row],[Price Difference]],"NA")</f>
        <v>12000</v>
      </c>
    </row>
    <row r="58" spans="1:21" x14ac:dyDescent="0.25">
      <c r="A58" t="s">
        <v>119</v>
      </c>
      <c r="B58" s="1">
        <v>45293</v>
      </c>
      <c r="C58" t="s">
        <v>99</v>
      </c>
      <c r="D58" t="s">
        <v>26</v>
      </c>
      <c r="E58" t="s">
        <v>19</v>
      </c>
      <c r="F58" t="s">
        <v>20</v>
      </c>
      <c r="G58" t="s">
        <v>337</v>
      </c>
      <c r="H58">
        <v>12000</v>
      </c>
      <c r="I58">
        <v>10000</v>
      </c>
      <c r="J58">
        <v>2000</v>
      </c>
      <c r="K58" t="str">
        <f>IFERROR(Table1[[#This Row],[Quantity]]*Table1[[#This Row],[Transactional Unit Price]],"NA")</f>
        <v>NA</v>
      </c>
      <c r="L58" t="str">
        <f>IFERROR(Table1[[#This Row],[Standard Unit Price]]*Table1[[#This Row],[Quantity]],"NA")</f>
        <v>NA</v>
      </c>
      <c r="M58" t="s">
        <v>13</v>
      </c>
      <c r="N5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58" t="s">
        <v>26</v>
      </c>
      <c r="T58">
        <f>VLOOKUP(Table3[[#This Row],[Product Name]],Table4[#All],2,FALSE)</f>
        <v>12000</v>
      </c>
      <c r="U58">
        <f>IFERROR(Table3[[#This Row],[Standard Price ]]-Table1[[#This Row],[Price Difference]],"NA")</f>
        <v>10000</v>
      </c>
    </row>
    <row r="59" spans="1:21" x14ac:dyDescent="0.25">
      <c r="A59" t="s">
        <v>120</v>
      </c>
      <c r="B59" s="1">
        <v>45518</v>
      </c>
      <c r="C59" t="s">
        <v>121</v>
      </c>
      <c r="D59" t="s">
        <v>46</v>
      </c>
      <c r="E59" t="s">
        <v>11</v>
      </c>
      <c r="F59" t="s">
        <v>42</v>
      </c>
      <c r="G59">
        <v>5</v>
      </c>
      <c r="H59">
        <v>13000</v>
      </c>
      <c r="I59">
        <v>8500</v>
      </c>
      <c r="J59">
        <v>4500</v>
      </c>
      <c r="K59">
        <f>IFERROR(Table1[[#This Row],[Quantity]]*Table1[[#This Row],[Transactional Unit Price]],"NA")</f>
        <v>42500</v>
      </c>
      <c r="L59">
        <f>IFERROR(Table1[[#This Row],[Standard Unit Price]]*Table1[[#This Row],[Quantity]],"NA")</f>
        <v>65000</v>
      </c>
      <c r="M59" t="s">
        <v>21</v>
      </c>
      <c r="N5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59" t="s">
        <v>46</v>
      </c>
      <c r="T59">
        <f>VLOOKUP(Table3[[#This Row],[Product Name]],Table4[#All],2,FALSE)</f>
        <v>13000</v>
      </c>
      <c r="U59">
        <f>IFERROR(Table3[[#This Row],[Standard Price ]]-Table1[[#This Row],[Price Difference]],"NA")</f>
        <v>8500</v>
      </c>
    </row>
    <row r="60" spans="1:21" x14ac:dyDescent="0.25">
      <c r="A60" t="s">
        <v>122</v>
      </c>
      <c r="B60" s="1">
        <v>45645</v>
      </c>
      <c r="C60" t="s">
        <v>123</v>
      </c>
      <c r="D60" t="s">
        <v>30</v>
      </c>
      <c r="E60" t="s">
        <v>49</v>
      </c>
      <c r="F60" t="s">
        <v>27</v>
      </c>
      <c r="G60">
        <v>3</v>
      </c>
      <c r="H60">
        <v>9200</v>
      </c>
      <c r="I60" t="s">
        <v>337</v>
      </c>
      <c r="J60" t="s">
        <v>337</v>
      </c>
      <c r="K60" t="str">
        <f>IFERROR(Table1[[#This Row],[Quantity]]*Table1[[#This Row],[Transactional Unit Price]],"NA")</f>
        <v>NA</v>
      </c>
      <c r="L60">
        <f>IFERROR(Table1[[#This Row],[Standard Unit Price]]*Table1[[#This Row],[Quantity]],"NA")</f>
        <v>27600</v>
      </c>
      <c r="M60" t="s">
        <v>13</v>
      </c>
      <c r="N6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60" t="s">
        <v>30</v>
      </c>
      <c r="T60">
        <f>VLOOKUP(Table3[[#This Row],[Product Name]],Table4[#All],2,FALSE)</f>
        <v>9200</v>
      </c>
      <c r="U60" t="str">
        <f>IFERROR(Table3[[#This Row],[Standard Price ]]-Table1[[#This Row],[Price Difference]],"NA")</f>
        <v>NA</v>
      </c>
    </row>
    <row r="61" spans="1:21" x14ac:dyDescent="0.25">
      <c r="A61" t="s">
        <v>124</v>
      </c>
      <c r="B61" s="1">
        <v>45512</v>
      </c>
      <c r="C61" t="s">
        <v>125</v>
      </c>
      <c r="D61" t="s">
        <v>30</v>
      </c>
      <c r="E61" t="s">
        <v>11</v>
      </c>
      <c r="F61" t="s">
        <v>31</v>
      </c>
      <c r="G61">
        <v>3</v>
      </c>
      <c r="H61">
        <v>9200</v>
      </c>
      <c r="I61">
        <v>8500</v>
      </c>
      <c r="J61">
        <v>700</v>
      </c>
      <c r="K61">
        <f>IFERROR(Table1[[#This Row],[Quantity]]*Table1[[#This Row],[Transactional Unit Price]],"NA")</f>
        <v>25500</v>
      </c>
      <c r="L61">
        <f>IFERROR(Table1[[#This Row],[Standard Unit Price]]*Table1[[#This Row],[Quantity]],"NA")</f>
        <v>27600</v>
      </c>
      <c r="M61" t="s">
        <v>369</v>
      </c>
      <c r="N6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61" t="s">
        <v>30</v>
      </c>
      <c r="T61">
        <f>VLOOKUP(Table3[[#This Row],[Product Name]],Table4[#All],2,FALSE)</f>
        <v>9200</v>
      </c>
      <c r="U61">
        <f>IFERROR(Table3[[#This Row],[Standard Price ]]-Table1[[#This Row],[Price Difference]],"NA")</f>
        <v>8500</v>
      </c>
    </row>
    <row r="62" spans="1:21" x14ac:dyDescent="0.25">
      <c r="A62" t="s">
        <v>126</v>
      </c>
      <c r="B62" s="1">
        <v>45641</v>
      </c>
      <c r="C62" t="s">
        <v>127</v>
      </c>
      <c r="D62" t="s">
        <v>30</v>
      </c>
      <c r="E62" t="s">
        <v>11</v>
      </c>
      <c r="F62" t="s">
        <v>27</v>
      </c>
      <c r="G62">
        <v>3</v>
      </c>
      <c r="H62">
        <v>9200</v>
      </c>
      <c r="I62" t="s">
        <v>337</v>
      </c>
      <c r="J62" t="s">
        <v>337</v>
      </c>
      <c r="K62" t="str">
        <f>IFERROR(Table1[[#This Row],[Quantity]]*Table1[[#This Row],[Transactional Unit Price]],"NA")</f>
        <v>NA</v>
      </c>
      <c r="L62">
        <f>IFERROR(Table1[[#This Row],[Standard Unit Price]]*Table1[[#This Row],[Quantity]],"NA")</f>
        <v>27600</v>
      </c>
      <c r="M62" t="s">
        <v>21</v>
      </c>
      <c r="N6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62" t="s">
        <v>30</v>
      </c>
      <c r="T62">
        <f>VLOOKUP(Table3[[#This Row],[Product Name]],Table4[#All],2,FALSE)</f>
        <v>9200</v>
      </c>
      <c r="U62" t="str">
        <f>IFERROR(Table3[[#This Row],[Standard Price ]]-Table1[[#This Row],[Price Difference]],"NA")</f>
        <v>NA</v>
      </c>
    </row>
    <row r="63" spans="1:21" x14ac:dyDescent="0.25">
      <c r="A63" t="s">
        <v>128</v>
      </c>
      <c r="B63" s="1">
        <v>45371</v>
      </c>
      <c r="C63" t="s">
        <v>129</v>
      </c>
      <c r="D63" t="s">
        <v>30</v>
      </c>
      <c r="E63" t="s">
        <v>19</v>
      </c>
      <c r="F63" t="s">
        <v>20</v>
      </c>
      <c r="G63">
        <v>2</v>
      </c>
      <c r="H63">
        <v>9200</v>
      </c>
      <c r="I63">
        <v>12000</v>
      </c>
      <c r="J63">
        <v>-2800</v>
      </c>
      <c r="K63">
        <f>IFERROR(Table1[[#This Row],[Quantity]]*Table1[[#This Row],[Transactional Unit Price]],"NA")</f>
        <v>24000</v>
      </c>
      <c r="L63">
        <f>IFERROR(Table1[[#This Row],[Standard Unit Price]]*Table1[[#This Row],[Quantity]],"NA")</f>
        <v>18400</v>
      </c>
      <c r="M63" t="s">
        <v>21</v>
      </c>
      <c r="N6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63" t="s">
        <v>30</v>
      </c>
      <c r="T63">
        <f>VLOOKUP(Table3[[#This Row],[Product Name]],Table4[#All],2,FALSE)</f>
        <v>9200</v>
      </c>
      <c r="U63">
        <f>IFERROR(Table3[[#This Row],[Standard Price ]]-Table1[[#This Row],[Price Difference]],"NA")</f>
        <v>12000</v>
      </c>
    </row>
    <row r="64" spans="1:21" x14ac:dyDescent="0.25">
      <c r="A64" t="s">
        <v>130</v>
      </c>
      <c r="B64" s="1">
        <v>45462</v>
      </c>
      <c r="C64" t="s">
        <v>41</v>
      </c>
      <c r="D64" t="s">
        <v>26</v>
      </c>
      <c r="E64" t="s">
        <v>57</v>
      </c>
      <c r="F64" t="s">
        <v>12</v>
      </c>
      <c r="G64" t="s">
        <v>337</v>
      </c>
      <c r="H64">
        <v>12000</v>
      </c>
      <c r="I64">
        <v>9200</v>
      </c>
      <c r="J64">
        <v>2800</v>
      </c>
      <c r="K64" t="str">
        <f>IFERROR(Table1[[#This Row],[Quantity]]*Table1[[#This Row],[Transactional Unit Price]],"NA")</f>
        <v>NA</v>
      </c>
      <c r="L64" t="str">
        <f>IFERROR(Table1[[#This Row],[Standard Unit Price]]*Table1[[#This Row],[Quantity]],"NA")</f>
        <v>NA</v>
      </c>
      <c r="M64" t="s">
        <v>369</v>
      </c>
      <c r="N6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64" t="s">
        <v>26</v>
      </c>
      <c r="T64">
        <f>VLOOKUP(Table3[[#This Row],[Product Name]],Table4[#All],2,FALSE)</f>
        <v>12000</v>
      </c>
      <c r="U64">
        <f>IFERROR(Table3[[#This Row],[Standard Price ]]-Table1[[#This Row],[Price Difference]],"NA")</f>
        <v>9200</v>
      </c>
    </row>
    <row r="65" spans="1:21" x14ac:dyDescent="0.25">
      <c r="A65" t="s">
        <v>131</v>
      </c>
      <c r="B65" s="1">
        <v>45651</v>
      </c>
      <c r="C65" t="s">
        <v>132</v>
      </c>
      <c r="D65" t="s">
        <v>10</v>
      </c>
      <c r="E65" t="s">
        <v>57</v>
      </c>
      <c r="F65" t="s">
        <v>27</v>
      </c>
      <c r="G65">
        <v>4</v>
      </c>
      <c r="H65">
        <v>10000</v>
      </c>
      <c r="I65">
        <v>9200</v>
      </c>
      <c r="J65">
        <v>800</v>
      </c>
      <c r="K65">
        <f>IFERROR(Table1[[#This Row],[Quantity]]*Table1[[#This Row],[Transactional Unit Price]],"NA")</f>
        <v>36800</v>
      </c>
      <c r="L65">
        <f>IFERROR(Table1[[#This Row],[Standard Unit Price]]*Table1[[#This Row],[Quantity]],"NA")</f>
        <v>40000</v>
      </c>
      <c r="M65" t="s">
        <v>13</v>
      </c>
      <c r="N6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65" t="s">
        <v>10</v>
      </c>
      <c r="T65">
        <f>VLOOKUP(Table3[[#This Row],[Product Name]],Table4[#All],2,FALSE)</f>
        <v>10000</v>
      </c>
      <c r="U65">
        <f>IFERROR(Table3[[#This Row],[Standard Price ]]-Table1[[#This Row],[Price Difference]],"NA")</f>
        <v>9200</v>
      </c>
    </row>
    <row r="66" spans="1:21" x14ac:dyDescent="0.25">
      <c r="A66" t="s">
        <v>133</v>
      </c>
      <c r="B66" s="1">
        <v>45527</v>
      </c>
      <c r="C66" t="s">
        <v>134</v>
      </c>
      <c r="D66" t="s">
        <v>26</v>
      </c>
      <c r="E66" t="s">
        <v>34</v>
      </c>
      <c r="F66" t="s">
        <v>20</v>
      </c>
      <c r="G66">
        <v>2</v>
      </c>
      <c r="H66">
        <v>12000</v>
      </c>
      <c r="I66">
        <v>8500</v>
      </c>
      <c r="J66">
        <v>3500</v>
      </c>
      <c r="K66">
        <f>IFERROR(Table1[[#This Row],[Quantity]]*Table1[[#This Row],[Transactional Unit Price]],"NA")</f>
        <v>17000</v>
      </c>
      <c r="L66">
        <f>IFERROR(Table1[[#This Row],[Standard Unit Price]]*Table1[[#This Row],[Quantity]],"NA")</f>
        <v>24000</v>
      </c>
      <c r="M66" t="s">
        <v>13</v>
      </c>
      <c r="N6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66" t="s">
        <v>26</v>
      </c>
      <c r="T66">
        <f>VLOOKUP(Table3[[#This Row],[Product Name]],Table4[#All],2,FALSE)</f>
        <v>12000</v>
      </c>
      <c r="U66">
        <f>IFERROR(Table3[[#This Row],[Standard Price ]]-Table1[[#This Row],[Price Difference]],"NA")</f>
        <v>8500</v>
      </c>
    </row>
    <row r="67" spans="1:21" x14ac:dyDescent="0.25">
      <c r="A67" t="s">
        <v>135</v>
      </c>
      <c r="B67" s="1">
        <v>45460</v>
      </c>
      <c r="C67" t="s">
        <v>134</v>
      </c>
      <c r="D67" t="s">
        <v>26</v>
      </c>
      <c r="E67" t="s">
        <v>19</v>
      </c>
      <c r="F67" t="s">
        <v>27</v>
      </c>
      <c r="G67">
        <v>3</v>
      </c>
      <c r="H67">
        <v>12000</v>
      </c>
      <c r="I67">
        <v>10000</v>
      </c>
      <c r="J67">
        <v>2000</v>
      </c>
      <c r="K67">
        <f>IFERROR(Table1[[#This Row],[Quantity]]*Table1[[#This Row],[Transactional Unit Price]],"NA")</f>
        <v>30000</v>
      </c>
      <c r="L67">
        <f>IFERROR(Table1[[#This Row],[Standard Unit Price]]*Table1[[#This Row],[Quantity]],"NA")</f>
        <v>36000</v>
      </c>
      <c r="M67" t="s">
        <v>13</v>
      </c>
      <c r="N6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67" t="s">
        <v>26</v>
      </c>
      <c r="T67">
        <f>VLOOKUP(Table3[[#This Row],[Product Name]],Table4[#All],2,FALSE)</f>
        <v>12000</v>
      </c>
      <c r="U67">
        <f>IFERROR(Table3[[#This Row],[Standard Price ]]-Table1[[#This Row],[Price Difference]],"NA")</f>
        <v>10000</v>
      </c>
    </row>
    <row r="68" spans="1:21" x14ac:dyDescent="0.25">
      <c r="A68" t="s">
        <v>136</v>
      </c>
      <c r="B68" s="1">
        <v>45639</v>
      </c>
      <c r="C68" t="s">
        <v>129</v>
      </c>
      <c r="D68" t="s">
        <v>26</v>
      </c>
      <c r="E68" t="s">
        <v>49</v>
      </c>
      <c r="F68" t="s">
        <v>31</v>
      </c>
      <c r="G68">
        <v>1</v>
      </c>
      <c r="H68">
        <v>12000</v>
      </c>
      <c r="I68">
        <v>8500</v>
      </c>
      <c r="J68">
        <v>3500</v>
      </c>
      <c r="K68">
        <f>IFERROR(Table1[[#This Row],[Quantity]]*Table1[[#This Row],[Transactional Unit Price]],"NA")</f>
        <v>8500</v>
      </c>
      <c r="L68">
        <f>IFERROR(Table1[[#This Row],[Standard Unit Price]]*Table1[[#This Row],[Quantity]],"NA")</f>
        <v>12000</v>
      </c>
      <c r="M68" t="s">
        <v>369</v>
      </c>
      <c r="N6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68" t="s">
        <v>26</v>
      </c>
      <c r="T68">
        <f>VLOOKUP(Table3[[#This Row],[Product Name]],Table4[#All],2,FALSE)</f>
        <v>12000</v>
      </c>
      <c r="U68">
        <f>IFERROR(Table3[[#This Row],[Standard Price ]]-Table1[[#This Row],[Price Difference]],"NA")</f>
        <v>8500</v>
      </c>
    </row>
    <row r="69" spans="1:21" x14ac:dyDescent="0.25">
      <c r="A69" t="s">
        <v>137</v>
      </c>
      <c r="B69" s="1">
        <v>45589</v>
      </c>
      <c r="C69" t="s">
        <v>84</v>
      </c>
      <c r="D69" t="s">
        <v>26</v>
      </c>
      <c r="E69" t="s">
        <v>11</v>
      </c>
      <c r="F69" t="s">
        <v>27</v>
      </c>
      <c r="G69">
        <v>5</v>
      </c>
      <c r="H69">
        <v>12000</v>
      </c>
      <c r="I69">
        <v>12000</v>
      </c>
      <c r="J69">
        <v>0</v>
      </c>
      <c r="K69">
        <f>IFERROR(Table1[[#This Row],[Quantity]]*Table1[[#This Row],[Transactional Unit Price]],"NA")</f>
        <v>60000</v>
      </c>
      <c r="L69">
        <f>IFERROR(Table1[[#This Row],[Standard Unit Price]]*Table1[[#This Row],[Quantity]],"NA")</f>
        <v>60000</v>
      </c>
      <c r="M69" t="s">
        <v>369</v>
      </c>
      <c r="N6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69" t="s">
        <v>26</v>
      </c>
      <c r="T69">
        <f>VLOOKUP(Table3[[#This Row],[Product Name]],Table4[#All],2,FALSE)</f>
        <v>12000</v>
      </c>
      <c r="U69">
        <f>IFERROR(Table3[[#This Row],[Standard Price ]]-Table1[[#This Row],[Price Difference]],"NA")</f>
        <v>12000</v>
      </c>
    </row>
    <row r="70" spans="1:21" x14ac:dyDescent="0.25">
      <c r="A70" t="s">
        <v>138</v>
      </c>
      <c r="B70" s="1">
        <v>45452</v>
      </c>
      <c r="C70" t="s">
        <v>67</v>
      </c>
      <c r="D70" t="s">
        <v>37</v>
      </c>
      <c r="E70" t="s">
        <v>49</v>
      </c>
      <c r="F70" t="s">
        <v>16</v>
      </c>
      <c r="G70">
        <v>1</v>
      </c>
      <c r="H70">
        <v>15000</v>
      </c>
      <c r="I70">
        <v>12000</v>
      </c>
      <c r="J70">
        <v>3000</v>
      </c>
      <c r="K70">
        <f>IFERROR(Table1[[#This Row],[Quantity]]*Table1[[#This Row],[Transactional Unit Price]],"NA")</f>
        <v>12000</v>
      </c>
      <c r="L70">
        <f>IFERROR(Table1[[#This Row],[Standard Unit Price]]*Table1[[#This Row],[Quantity]],"NA")</f>
        <v>15000</v>
      </c>
      <c r="M70" t="s">
        <v>13</v>
      </c>
      <c r="N7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70" t="s">
        <v>37</v>
      </c>
      <c r="T70">
        <f>VLOOKUP(Table3[[#This Row],[Product Name]],Table4[#All],2,FALSE)</f>
        <v>15000</v>
      </c>
      <c r="U70">
        <f>IFERROR(Table3[[#This Row],[Standard Price ]]-Table1[[#This Row],[Price Difference]],"NA")</f>
        <v>12000</v>
      </c>
    </row>
    <row r="71" spans="1:21" x14ac:dyDescent="0.25">
      <c r="A71" t="s">
        <v>139</v>
      </c>
      <c r="B71" s="1">
        <v>45422</v>
      </c>
      <c r="C71" t="s">
        <v>61</v>
      </c>
      <c r="D71" t="s">
        <v>10</v>
      </c>
      <c r="E71" t="s">
        <v>11</v>
      </c>
      <c r="F71" t="s">
        <v>42</v>
      </c>
      <c r="G71">
        <v>1</v>
      </c>
      <c r="H71">
        <v>10000</v>
      </c>
      <c r="I71" t="s">
        <v>337</v>
      </c>
      <c r="J71" t="s">
        <v>337</v>
      </c>
      <c r="K71" t="str">
        <f>IFERROR(Table1[[#This Row],[Quantity]]*Table1[[#This Row],[Transactional Unit Price]],"NA")</f>
        <v>NA</v>
      </c>
      <c r="L71">
        <f>IFERROR(Table1[[#This Row],[Standard Unit Price]]*Table1[[#This Row],[Quantity]],"NA")</f>
        <v>10000</v>
      </c>
      <c r="M71" t="s">
        <v>13</v>
      </c>
      <c r="N7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71" t="s">
        <v>10</v>
      </c>
      <c r="T71">
        <f>VLOOKUP(Table3[[#This Row],[Product Name]],Table4[#All],2,FALSE)</f>
        <v>10000</v>
      </c>
      <c r="U71" t="str">
        <f>IFERROR(Table3[[#This Row],[Standard Price ]]-Table1[[#This Row],[Price Difference]],"NA")</f>
        <v>NA</v>
      </c>
    </row>
    <row r="72" spans="1:21" x14ac:dyDescent="0.25">
      <c r="A72" t="s">
        <v>140</v>
      </c>
      <c r="B72" s="1">
        <v>45635</v>
      </c>
      <c r="C72" t="s">
        <v>109</v>
      </c>
      <c r="D72" t="s">
        <v>30</v>
      </c>
      <c r="E72" t="s">
        <v>34</v>
      </c>
      <c r="F72" t="s">
        <v>42</v>
      </c>
      <c r="G72">
        <v>1</v>
      </c>
      <c r="H72">
        <v>9200</v>
      </c>
      <c r="I72">
        <v>10000</v>
      </c>
      <c r="J72">
        <v>-800</v>
      </c>
      <c r="K72">
        <f>IFERROR(Table1[[#This Row],[Quantity]]*Table1[[#This Row],[Transactional Unit Price]],"NA")</f>
        <v>10000</v>
      </c>
      <c r="L72">
        <f>IFERROR(Table1[[#This Row],[Standard Unit Price]]*Table1[[#This Row],[Quantity]],"NA")</f>
        <v>9200</v>
      </c>
      <c r="M72" t="s">
        <v>13</v>
      </c>
      <c r="N7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72" t="s">
        <v>30</v>
      </c>
      <c r="T72">
        <f>VLOOKUP(Table3[[#This Row],[Product Name]],Table4[#All],2,FALSE)</f>
        <v>9200</v>
      </c>
      <c r="U72">
        <f>IFERROR(Table3[[#This Row],[Standard Price ]]-Table1[[#This Row],[Price Difference]],"NA")</f>
        <v>10000</v>
      </c>
    </row>
    <row r="73" spans="1:21" x14ac:dyDescent="0.25">
      <c r="A73" t="s">
        <v>141</v>
      </c>
      <c r="B73" s="1">
        <v>45631</v>
      </c>
      <c r="C73" t="s">
        <v>97</v>
      </c>
      <c r="D73" t="s">
        <v>26</v>
      </c>
      <c r="E73" t="s">
        <v>11</v>
      </c>
      <c r="F73" t="s">
        <v>12</v>
      </c>
      <c r="G73">
        <v>3</v>
      </c>
      <c r="H73">
        <v>12000</v>
      </c>
      <c r="I73" t="s">
        <v>337</v>
      </c>
      <c r="J73" t="s">
        <v>337</v>
      </c>
      <c r="K73" t="str">
        <f>IFERROR(Table1[[#This Row],[Quantity]]*Table1[[#This Row],[Transactional Unit Price]],"NA")</f>
        <v>NA</v>
      </c>
      <c r="L73">
        <f>IFERROR(Table1[[#This Row],[Standard Unit Price]]*Table1[[#This Row],[Quantity]],"NA")</f>
        <v>36000</v>
      </c>
      <c r="M73" t="s">
        <v>369</v>
      </c>
      <c r="N7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73" t="s">
        <v>26</v>
      </c>
      <c r="T73">
        <f>VLOOKUP(Table3[[#This Row],[Product Name]],Table4[#All],2,FALSE)</f>
        <v>12000</v>
      </c>
      <c r="U73" t="str">
        <f>IFERROR(Table3[[#This Row],[Standard Price ]]-Table1[[#This Row],[Price Difference]],"NA")</f>
        <v>NA</v>
      </c>
    </row>
    <row r="74" spans="1:21" x14ac:dyDescent="0.25">
      <c r="A74" t="s">
        <v>142</v>
      </c>
      <c r="B74" s="1">
        <v>45501</v>
      </c>
      <c r="C74" t="s">
        <v>67</v>
      </c>
      <c r="D74" t="s">
        <v>26</v>
      </c>
      <c r="E74" t="s">
        <v>57</v>
      </c>
      <c r="F74" t="s">
        <v>12</v>
      </c>
      <c r="G74">
        <v>3</v>
      </c>
      <c r="H74">
        <v>12000</v>
      </c>
      <c r="I74" t="s">
        <v>337</v>
      </c>
      <c r="J74" t="s">
        <v>337</v>
      </c>
      <c r="K74" t="str">
        <f>IFERROR(Table1[[#This Row],[Quantity]]*Table1[[#This Row],[Transactional Unit Price]],"NA")</f>
        <v>NA</v>
      </c>
      <c r="L74">
        <f>IFERROR(Table1[[#This Row],[Standard Unit Price]]*Table1[[#This Row],[Quantity]],"NA")</f>
        <v>36000</v>
      </c>
      <c r="M74" t="s">
        <v>13</v>
      </c>
      <c r="N7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74" t="s">
        <v>26</v>
      </c>
      <c r="T74">
        <f>VLOOKUP(Table3[[#This Row],[Product Name]],Table4[#All],2,FALSE)</f>
        <v>12000</v>
      </c>
      <c r="U74" t="str">
        <f>IFERROR(Table3[[#This Row],[Standard Price ]]-Table1[[#This Row],[Price Difference]],"NA")</f>
        <v>NA</v>
      </c>
    </row>
    <row r="75" spans="1:21" x14ac:dyDescent="0.25">
      <c r="A75" t="s">
        <v>143</v>
      </c>
      <c r="B75" s="1">
        <v>45507</v>
      </c>
      <c r="C75" t="s">
        <v>36</v>
      </c>
      <c r="D75" t="s">
        <v>10</v>
      </c>
      <c r="E75" t="s">
        <v>57</v>
      </c>
      <c r="F75" t="s">
        <v>12</v>
      </c>
      <c r="G75" t="s">
        <v>337</v>
      </c>
      <c r="H75">
        <v>10000</v>
      </c>
      <c r="I75">
        <v>9200</v>
      </c>
      <c r="J75">
        <v>800</v>
      </c>
      <c r="K75" t="str">
        <f>IFERROR(Table1[[#This Row],[Quantity]]*Table1[[#This Row],[Transactional Unit Price]],"NA")</f>
        <v>NA</v>
      </c>
      <c r="L75" t="str">
        <f>IFERROR(Table1[[#This Row],[Standard Unit Price]]*Table1[[#This Row],[Quantity]],"NA")</f>
        <v>NA</v>
      </c>
      <c r="M75" t="s">
        <v>13</v>
      </c>
      <c r="N7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75" t="s">
        <v>10</v>
      </c>
      <c r="T75">
        <f>VLOOKUP(Table3[[#This Row],[Product Name]],Table4[#All],2,FALSE)</f>
        <v>10000</v>
      </c>
      <c r="U75">
        <f>IFERROR(Table3[[#This Row],[Standard Price ]]-Table1[[#This Row],[Price Difference]],"NA")</f>
        <v>9200</v>
      </c>
    </row>
    <row r="76" spans="1:21" x14ac:dyDescent="0.25">
      <c r="A76" t="s">
        <v>144</v>
      </c>
      <c r="B76" s="1">
        <v>45446</v>
      </c>
      <c r="C76" t="s">
        <v>63</v>
      </c>
      <c r="D76" t="s">
        <v>37</v>
      </c>
      <c r="E76" t="s">
        <v>49</v>
      </c>
      <c r="F76" t="s">
        <v>27</v>
      </c>
      <c r="G76">
        <v>3</v>
      </c>
      <c r="H76">
        <v>15000</v>
      </c>
      <c r="I76">
        <v>10000</v>
      </c>
      <c r="J76">
        <v>5000</v>
      </c>
      <c r="K76">
        <f>IFERROR(Table1[[#This Row],[Quantity]]*Table1[[#This Row],[Transactional Unit Price]],"NA")</f>
        <v>30000</v>
      </c>
      <c r="L76">
        <f>IFERROR(Table1[[#This Row],[Standard Unit Price]]*Table1[[#This Row],[Quantity]],"NA")</f>
        <v>45000</v>
      </c>
      <c r="M76" t="s">
        <v>13</v>
      </c>
      <c r="N7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76" t="s">
        <v>37</v>
      </c>
      <c r="T76">
        <f>VLOOKUP(Table3[[#This Row],[Product Name]],Table4[#All],2,FALSE)</f>
        <v>15000</v>
      </c>
      <c r="U76">
        <f>IFERROR(Table3[[#This Row],[Standard Price ]]-Table1[[#This Row],[Price Difference]],"NA")</f>
        <v>10000</v>
      </c>
    </row>
    <row r="77" spans="1:21" x14ac:dyDescent="0.25">
      <c r="A77" t="s">
        <v>145</v>
      </c>
      <c r="B77" s="1">
        <v>45588</v>
      </c>
      <c r="C77" t="s">
        <v>61</v>
      </c>
      <c r="D77" t="s">
        <v>46</v>
      </c>
      <c r="E77" t="s">
        <v>11</v>
      </c>
      <c r="F77" t="s">
        <v>31</v>
      </c>
      <c r="G77">
        <v>4</v>
      </c>
      <c r="H77">
        <v>13000</v>
      </c>
      <c r="I77">
        <v>12000</v>
      </c>
      <c r="J77">
        <v>1000</v>
      </c>
      <c r="K77">
        <f>IFERROR(Table1[[#This Row],[Quantity]]*Table1[[#This Row],[Transactional Unit Price]],"NA")</f>
        <v>48000</v>
      </c>
      <c r="L77">
        <f>IFERROR(Table1[[#This Row],[Standard Unit Price]]*Table1[[#This Row],[Quantity]],"NA")</f>
        <v>52000</v>
      </c>
      <c r="M77" t="s">
        <v>21</v>
      </c>
      <c r="N7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77" t="s">
        <v>46</v>
      </c>
      <c r="T77">
        <f>VLOOKUP(Table3[[#This Row],[Product Name]],Table4[#All],2,FALSE)</f>
        <v>13000</v>
      </c>
      <c r="U77">
        <f>IFERROR(Table3[[#This Row],[Standard Price ]]-Table1[[#This Row],[Price Difference]],"NA")</f>
        <v>12000</v>
      </c>
    </row>
    <row r="78" spans="1:21" x14ac:dyDescent="0.25">
      <c r="A78" t="s">
        <v>146</v>
      </c>
      <c r="B78" s="1">
        <v>45401</v>
      </c>
      <c r="C78" t="s">
        <v>82</v>
      </c>
      <c r="D78" t="s">
        <v>46</v>
      </c>
      <c r="E78" t="s">
        <v>57</v>
      </c>
      <c r="F78" t="s">
        <v>12</v>
      </c>
      <c r="G78">
        <v>2</v>
      </c>
      <c r="H78">
        <v>13000</v>
      </c>
      <c r="I78">
        <v>8500</v>
      </c>
      <c r="J78">
        <v>4500</v>
      </c>
      <c r="K78">
        <f>IFERROR(Table1[[#This Row],[Quantity]]*Table1[[#This Row],[Transactional Unit Price]],"NA")</f>
        <v>17000</v>
      </c>
      <c r="L78">
        <f>IFERROR(Table1[[#This Row],[Standard Unit Price]]*Table1[[#This Row],[Quantity]],"NA")</f>
        <v>26000</v>
      </c>
      <c r="M78" t="s">
        <v>369</v>
      </c>
      <c r="N7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78" t="s">
        <v>46</v>
      </c>
      <c r="T78">
        <f>VLOOKUP(Table3[[#This Row],[Product Name]],Table4[#All],2,FALSE)</f>
        <v>13000</v>
      </c>
      <c r="U78">
        <f>IFERROR(Table3[[#This Row],[Standard Price ]]-Table1[[#This Row],[Price Difference]],"NA")</f>
        <v>8500</v>
      </c>
    </row>
    <row r="79" spans="1:21" x14ac:dyDescent="0.25">
      <c r="A79" t="s">
        <v>147</v>
      </c>
      <c r="B79" s="1">
        <v>45631</v>
      </c>
      <c r="C79" t="s">
        <v>48</v>
      </c>
      <c r="D79" t="s">
        <v>10</v>
      </c>
      <c r="E79" t="s">
        <v>49</v>
      </c>
      <c r="F79" t="s">
        <v>31</v>
      </c>
      <c r="G79">
        <v>1</v>
      </c>
      <c r="H79">
        <v>10000</v>
      </c>
      <c r="I79">
        <v>9200</v>
      </c>
      <c r="J79">
        <v>800</v>
      </c>
      <c r="K79">
        <f>IFERROR(Table1[[#This Row],[Quantity]]*Table1[[#This Row],[Transactional Unit Price]],"NA")</f>
        <v>9200</v>
      </c>
      <c r="L79">
        <f>IFERROR(Table1[[#This Row],[Standard Unit Price]]*Table1[[#This Row],[Quantity]],"NA")</f>
        <v>10000</v>
      </c>
      <c r="M79" t="s">
        <v>369</v>
      </c>
      <c r="N7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79" t="s">
        <v>10</v>
      </c>
      <c r="T79">
        <f>VLOOKUP(Table3[[#This Row],[Product Name]],Table4[#All],2,FALSE)</f>
        <v>10000</v>
      </c>
      <c r="U79">
        <f>IFERROR(Table3[[#This Row],[Standard Price ]]-Table1[[#This Row],[Price Difference]],"NA")</f>
        <v>9200</v>
      </c>
    </row>
    <row r="80" spans="1:21" x14ac:dyDescent="0.25">
      <c r="A80" t="s">
        <v>148</v>
      </c>
      <c r="B80" s="1">
        <v>45393</v>
      </c>
      <c r="C80" t="s">
        <v>102</v>
      </c>
      <c r="D80" t="s">
        <v>30</v>
      </c>
      <c r="E80" t="s">
        <v>11</v>
      </c>
      <c r="F80" t="s">
        <v>27</v>
      </c>
      <c r="G80">
        <v>2</v>
      </c>
      <c r="H80">
        <v>9200</v>
      </c>
      <c r="I80">
        <v>12000</v>
      </c>
      <c r="J80">
        <v>-2800</v>
      </c>
      <c r="K80">
        <f>IFERROR(Table1[[#This Row],[Quantity]]*Table1[[#This Row],[Transactional Unit Price]],"NA")</f>
        <v>24000</v>
      </c>
      <c r="L80">
        <f>IFERROR(Table1[[#This Row],[Standard Unit Price]]*Table1[[#This Row],[Quantity]],"NA")</f>
        <v>18400</v>
      </c>
      <c r="M80" t="s">
        <v>13</v>
      </c>
      <c r="N8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80" t="s">
        <v>30</v>
      </c>
      <c r="T80">
        <f>VLOOKUP(Table3[[#This Row],[Product Name]],Table4[#All],2,FALSE)</f>
        <v>9200</v>
      </c>
      <c r="U80">
        <f>IFERROR(Table3[[#This Row],[Standard Price ]]-Table1[[#This Row],[Price Difference]],"NA")</f>
        <v>12000</v>
      </c>
    </row>
    <row r="81" spans="1:21" x14ac:dyDescent="0.25">
      <c r="A81" t="s">
        <v>149</v>
      </c>
      <c r="B81" s="1">
        <v>45329</v>
      </c>
      <c r="C81" t="s">
        <v>150</v>
      </c>
      <c r="D81" t="s">
        <v>37</v>
      </c>
      <c r="E81" t="s">
        <v>57</v>
      </c>
      <c r="F81" t="s">
        <v>12</v>
      </c>
      <c r="G81">
        <v>5</v>
      </c>
      <c r="H81">
        <v>15000</v>
      </c>
      <c r="I81">
        <v>9200</v>
      </c>
      <c r="J81">
        <v>5800</v>
      </c>
      <c r="K81">
        <f>IFERROR(Table1[[#This Row],[Quantity]]*Table1[[#This Row],[Transactional Unit Price]],"NA")</f>
        <v>46000</v>
      </c>
      <c r="L81">
        <f>IFERROR(Table1[[#This Row],[Standard Unit Price]]*Table1[[#This Row],[Quantity]],"NA")</f>
        <v>75000</v>
      </c>
      <c r="M81" t="s">
        <v>21</v>
      </c>
      <c r="N8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81" t="s">
        <v>37</v>
      </c>
      <c r="T81">
        <f>VLOOKUP(Table3[[#This Row],[Product Name]],Table4[#All],2,FALSE)</f>
        <v>15000</v>
      </c>
      <c r="U81">
        <f>IFERROR(Table3[[#This Row],[Standard Price ]]-Table1[[#This Row],[Price Difference]],"NA")</f>
        <v>9200</v>
      </c>
    </row>
    <row r="82" spans="1:21" x14ac:dyDescent="0.25">
      <c r="A82" t="s">
        <v>151</v>
      </c>
      <c r="B82" s="1">
        <v>45496</v>
      </c>
      <c r="C82" t="s">
        <v>152</v>
      </c>
      <c r="D82" t="s">
        <v>30</v>
      </c>
      <c r="E82" t="s">
        <v>19</v>
      </c>
      <c r="F82" t="s">
        <v>12</v>
      </c>
      <c r="G82" t="s">
        <v>337</v>
      </c>
      <c r="H82">
        <v>9200</v>
      </c>
      <c r="I82">
        <v>8500</v>
      </c>
      <c r="J82">
        <v>700</v>
      </c>
      <c r="K82" t="str">
        <f>IFERROR(Table1[[#This Row],[Quantity]]*Table1[[#This Row],[Transactional Unit Price]],"NA")</f>
        <v>NA</v>
      </c>
      <c r="L82" t="str">
        <f>IFERROR(Table1[[#This Row],[Standard Unit Price]]*Table1[[#This Row],[Quantity]],"NA")</f>
        <v>NA</v>
      </c>
      <c r="M82" t="s">
        <v>21</v>
      </c>
      <c r="N8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82" t="s">
        <v>30</v>
      </c>
      <c r="T82">
        <f>VLOOKUP(Table3[[#This Row],[Product Name]],Table4[#All],2,FALSE)</f>
        <v>9200</v>
      </c>
      <c r="U82">
        <f>IFERROR(Table3[[#This Row],[Standard Price ]]-Table1[[#This Row],[Price Difference]],"NA")</f>
        <v>8500</v>
      </c>
    </row>
    <row r="83" spans="1:21" x14ac:dyDescent="0.25">
      <c r="A83" t="s">
        <v>153</v>
      </c>
      <c r="B83" s="1">
        <v>45509</v>
      </c>
      <c r="C83" t="s">
        <v>18</v>
      </c>
      <c r="D83" t="s">
        <v>30</v>
      </c>
      <c r="E83" t="s">
        <v>19</v>
      </c>
      <c r="F83" t="s">
        <v>12</v>
      </c>
      <c r="G83">
        <v>5</v>
      </c>
      <c r="H83">
        <v>9200</v>
      </c>
      <c r="I83">
        <v>12000</v>
      </c>
      <c r="J83">
        <v>-2800</v>
      </c>
      <c r="K83">
        <f>IFERROR(Table1[[#This Row],[Quantity]]*Table1[[#This Row],[Transactional Unit Price]],"NA")</f>
        <v>60000</v>
      </c>
      <c r="L83">
        <f>IFERROR(Table1[[#This Row],[Standard Unit Price]]*Table1[[#This Row],[Quantity]],"NA")</f>
        <v>46000</v>
      </c>
      <c r="M83" t="s">
        <v>21</v>
      </c>
      <c r="N8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83" t="s">
        <v>30</v>
      </c>
      <c r="T83">
        <f>VLOOKUP(Table3[[#This Row],[Product Name]],Table4[#All],2,FALSE)</f>
        <v>9200</v>
      </c>
      <c r="U83">
        <f>IFERROR(Table3[[#This Row],[Standard Price ]]-Table1[[#This Row],[Price Difference]],"NA")</f>
        <v>12000</v>
      </c>
    </row>
    <row r="84" spans="1:21" x14ac:dyDescent="0.25">
      <c r="A84" t="s">
        <v>154</v>
      </c>
      <c r="B84" s="1">
        <v>45419</v>
      </c>
      <c r="C84" t="s">
        <v>18</v>
      </c>
      <c r="D84" t="s">
        <v>26</v>
      </c>
      <c r="E84" t="s">
        <v>11</v>
      </c>
      <c r="F84" t="s">
        <v>42</v>
      </c>
      <c r="G84">
        <v>2</v>
      </c>
      <c r="H84">
        <v>12000</v>
      </c>
      <c r="I84">
        <v>12000</v>
      </c>
      <c r="J84">
        <v>0</v>
      </c>
      <c r="K84">
        <f>IFERROR(Table1[[#This Row],[Quantity]]*Table1[[#This Row],[Transactional Unit Price]],"NA")</f>
        <v>24000</v>
      </c>
      <c r="L84">
        <f>IFERROR(Table1[[#This Row],[Standard Unit Price]]*Table1[[#This Row],[Quantity]],"NA")</f>
        <v>24000</v>
      </c>
      <c r="M84" t="s">
        <v>13</v>
      </c>
      <c r="N8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84" t="s">
        <v>26</v>
      </c>
      <c r="T84">
        <f>VLOOKUP(Table3[[#This Row],[Product Name]],Table4[#All],2,FALSE)</f>
        <v>12000</v>
      </c>
      <c r="U84">
        <f>IFERROR(Table3[[#This Row],[Standard Price ]]-Table1[[#This Row],[Price Difference]],"NA")</f>
        <v>12000</v>
      </c>
    </row>
    <row r="85" spans="1:21" x14ac:dyDescent="0.25">
      <c r="A85" t="s">
        <v>155</v>
      </c>
      <c r="B85" s="1">
        <v>45596</v>
      </c>
      <c r="C85" t="s">
        <v>92</v>
      </c>
      <c r="D85" t="s">
        <v>26</v>
      </c>
      <c r="E85" t="s">
        <v>19</v>
      </c>
      <c r="F85" t="s">
        <v>42</v>
      </c>
      <c r="G85">
        <v>5</v>
      </c>
      <c r="H85">
        <v>12000</v>
      </c>
      <c r="I85" t="s">
        <v>337</v>
      </c>
      <c r="J85" t="s">
        <v>337</v>
      </c>
      <c r="K85" t="str">
        <f>IFERROR(Table1[[#This Row],[Quantity]]*Table1[[#This Row],[Transactional Unit Price]],"NA")</f>
        <v>NA</v>
      </c>
      <c r="L85">
        <f>IFERROR(Table1[[#This Row],[Standard Unit Price]]*Table1[[#This Row],[Quantity]],"NA")</f>
        <v>60000</v>
      </c>
      <c r="M85" t="s">
        <v>21</v>
      </c>
      <c r="N8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85" t="s">
        <v>26</v>
      </c>
      <c r="T85">
        <f>VLOOKUP(Table3[[#This Row],[Product Name]],Table4[#All],2,FALSE)</f>
        <v>12000</v>
      </c>
      <c r="U85" t="str">
        <f>IFERROR(Table3[[#This Row],[Standard Price ]]-Table1[[#This Row],[Price Difference]],"NA")</f>
        <v>NA</v>
      </c>
    </row>
    <row r="86" spans="1:21" x14ac:dyDescent="0.25">
      <c r="A86" t="s">
        <v>156</v>
      </c>
      <c r="B86" s="1">
        <v>45572</v>
      </c>
      <c r="C86" t="s">
        <v>65</v>
      </c>
      <c r="D86" t="s">
        <v>37</v>
      </c>
      <c r="E86" t="s">
        <v>19</v>
      </c>
      <c r="F86" t="s">
        <v>12</v>
      </c>
      <c r="G86">
        <v>4</v>
      </c>
      <c r="H86">
        <v>15000</v>
      </c>
      <c r="I86">
        <v>12000</v>
      </c>
      <c r="J86">
        <v>3000</v>
      </c>
      <c r="K86">
        <f>IFERROR(Table1[[#This Row],[Quantity]]*Table1[[#This Row],[Transactional Unit Price]],"NA")</f>
        <v>48000</v>
      </c>
      <c r="L86">
        <f>IFERROR(Table1[[#This Row],[Standard Unit Price]]*Table1[[#This Row],[Quantity]],"NA")</f>
        <v>60000</v>
      </c>
      <c r="M86" t="s">
        <v>369</v>
      </c>
      <c r="N8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86" t="s">
        <v>37</v>
      </c>
      <c r="T86">
        <f>VLOOKUP(Table3[[#This Row],[Product Name]],Table4[#All],2,FALSE)</f>
        <v>15000</v>
      </c>
      <c r="U86">
        <f>IFERROR(Table3[[#This Row],[Standard Price ]]-Table1[[#This Row],[Price Difference]],"NA")</f>
        <v>12000</v>
      </c>
    </row>
    <row r="87" spans="1:21" x14ac:dyDescent="0.25">
      <c r="A87" t="s">
        <v>157</v>
      </c>
      <c r="B87" s="1">
        <v>45418</v>
      </c>
      <c r="C87" t="s">
        <v>25</v>
      </c>
      <c r="D87" t="s">
        <v>26</v>
      </c>
      <c r="E87" t="s">
        <v>11</v>
      </c>
      <c r="F87" t="s">
        <v>31</v>
      </c>
      <c r="G87">
        <v>5</v>
      </c>
      <c r="H87">
        <v>12000</v>
      </c>
      <c r="I87">
        <v>12000</v>
      </c>
      <c r="J87">
        <v>0</v>
      </c>
      <c r="K87">
        <f>IFERROR(Table1[[#This Row],[Quantity]]*Table1[[#This Row],[Transactional Unit Price]],"NA")</f>
        <v>60000</v>
      </c>
      <c r="L87">
        <f>IFERROR(Table1[[#This Row],[Standard Unit Price]]*Table1[[#This Row],[Quantity]],"NA")</f>
        <v>60000</v>
      </c>
      <c r="M87" t="s">
        <v>13</v>
      </c>
      <c r="N8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87" t="s">
        <v>26</v>
      </c>
      <c r="T87">
        <f>VLOOKUP(Table3[[#This Row],[Product Name]],Table4[#All],2,FALSE)</f>
        <v>12000</v>
      </c>
      <c r="U87">
        <f>IFERROR(Table3[[#This Row],[Standard Price ]]-Table1[[#This Row],[Price Difference]],"NA")</f>
        <v>12000</v>
      </c>
    </row>
    <row r="88" spans="1:21" x14ac:dyDescent="0.25">
      <c r="A88" t="s">
        <v>158</v>
      </c>
      <c r="B88" s="1">
        <v>45517</v>
      </c>
      <c r="C88" t="s">
        <v>109</v>
      </c>
      <c r="D88" t="s">
        <v>10</v>
      </c>
      <c r="E88" t="s">
        <v>11</v>
      </c>
      <c r="F88" t="s">
        <v>31</v>
      </c>
      <c r="G88">
        <v>2</v>
      </c>
      <c r="H88">
        <v>10000</v>
      </c>
      <c r="I88">
        <v>10000</v>
      </c>
      <c r="J88">
        <v>0</v>
      </c>
      <c r="K88">
        <f>IFERROR(Table1[[#This Row],[Quantity]]*Table1[[#This Row],[Transactional Unit Price]],"NA")</f>
        <v>20000</v>
      </c>
      <c r="L88">
        <f>IFERROR(Table1[[#This Row],[Standard Unit Price]]*Table1[[#This Row],[Quantity]],"NA")</f>
        <v>20000</v>
      </c>
      <c r="M88" t="s">
        <v>369</v>
      </c>
      <c r="N8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88" t="s">
        <v>10</v>
      </c>
      <c r="T88">
        <f>VLOOKUP(Table3[[#This Row],[Product Name]],Table4[#All],2,FALSE)</f>
        <v>10000</v>
      </c>
      <c r="U88">
        <f>IFERROR(Table3[[#This Row],[Standard Price ]]-Table1[[#This Row],[Price Difference]],"NA")</f>
        <v>10000</v>
      </c>
    </row>
    <row r="89" spans="1:21" x14ac:dyDescent="0.25">
      <c r="A89" t="s">
        <v>159</v>
      </c>
      <c r="B89" s="1">
        <v>45568</v>
      </c>
      <c r="C89" t="s">
        <v>80</v>
      </c>
      <c r="D89" t="s">
        <v>10</v>
      </c>
      <c r="E89" t="s">
        <v>19</v>
      </c>
      <c r="F89" t="s">
        <v>20</v>
      </c>
      <c r="G89">
        <v>2</v>
      </c>
      <c r="H89">
        <v>10000</v>
      </c>
      <c r="I89">
        <v>12000</v>
      </c>
      <c r="J89">
        <v>-2000</v>
      </c>
      <c r="K89">
        <f>IFERROR(Table1[[#This Row],[Quantity]]*Table1[[#This Row],[Transactional Unit Price]],"NA")</f>
        <v>24000</v>
      </c>
      <c r="L89">
        <f>IFERROR(Table1[[#This Row],[Standard Unit Price]]*Table1[[#This Row],[Quantity]],"NA")</f>
        <v>20000</v>
      </c>
      <c r="M89" t="s">
        <v>13</v>
      </c>
      <c r="N8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89" t="s">
        <v>10</v>
      </c>
      <c r="T89">
        <f>VLOOKUP(Table3[[#This Row],[Product Name]],Table4[#All],2,FALSE)</f>
        <v>10000</v>
      </c>
      <c r="U89">
        <f>IFERROR(Table3[[#This Row],[Standard Price ]]-Table1[[#This Row],[Price Difference]],"NA")</f>
        <v>12000</v>
      </c>
    </row>
    <row r="90" spans="1:21" x14ac:dyDescent="0.25">
      <c r="A90" t="s">
        <v>160</v>
      </c>
      <c r="B90" s="1">
        <v>45401</v>
      </c>
      <c r="C90" t="s">
        <v>106</v>
      </c>
      <c r="D90" t="s">
        <v>10</v>
      </c>
      <c r="E90" t="s">
        <v>57</v>
      </c>
      <c r="F90" t="s">
        <v>42</v>
      </c>
      <c r="G90">
        <v>3</v>
      </c>
      <c r="H90">
        <v>10000</v>
      </c>
      <c r="I90" t="s">
        <v>337</v>
      </c>
      <c r="J90" t="s">
        <v>337</v>
      </c>
      <c r="K90" t="str">
        <f>IFERROR(Table1[[#This Row],[Quantity]]*Table1[[#This Row],[Transactional Unit Price]],"NA")</f>
        <v>NA</v>
      </c>
      <c r="L90">
        <f>IFERROR(Table1[[#This Row],[Standard Unit Price]]*Table1[[#This Row],[Quantity]],"NA")</f>
        <v>30000</v>
      </c>
      <c r="M90" t="s">
        <v>21</v>
      </c>
      <c r="N9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90" t="s">
        <v>10</v>
      </c>
      <c r="T90">
        <f>VLOOKUP(Table3[[#This Row],[Product Name]],Table4[#All],2,FALSE)</f>
        <v>10000</v>
      </c>
      <c r="U90" t="str">
        <f>IFERROR(Table3[[#This Row],[Standard Price ]]-Table1[[#This Row],[Price Difference]],"NA")</f>
        <v>NA</v>
      </c>
    </row>
    <row r="91" spans="1:21" x14ac:dyDescent="0.25">
      <c r="A91" t="s">
        <v>161</v>
      </c>
      <c r="B91" s="1">
        <v>45323</v>
      </c>
      <c r="C91" t="s">
        <v>102</v>
      </c>
      <c r="D91" t="s">
        <v>30</v>
      </c>
      <c r="E91" t="s">
        <v>19</v>
      </c>
      <c r="F91" t="s">
        <v>42</v>
      </c>
      <c r="G91">
        <v>4</v>
      </c>
      <c r="H91">
        <v>9200</v>
      </c>
      <c r="I91" t="s">
        <v>337</v>
      </c>
      <c r="J91" t="s">
        <v>337</v>
      </c>
      <c r="K91" t="str">
        <f>IFERROR(Table1[[#This Row],[Quantity]]*Table1[[#This Row],[Transactional Unit Price]],"NA")</f>
        <v>NA</v>
      </c>
      <c r="L91">
        <f>IFERROR(Table1[[#This Row],[Standard Unit Price]]*Table1[[#This Row],[Quantity]],"NA")</f>
        <v>36800</v>
      </c>
      <c r="M91" t="s">
        <v>21</v>
      </c>
      <c r="N9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91" t="s">
        <v>30</v>
      </c>
      <c r="T91">
        <f>VLOOKUP(Table3[[#This Row],[Product Name]],Table4[#All],2,FALSE)</f>
        <v>9200</v>
      </c>
      <c r="U91" t="str">
        <f>IFERROR(Table3[[#This Row],[Standard Price ]]-Table1[[#This Row],[Price Difference]],"NA")</f>
        <v>NA</v>
      </c>
    </row>
    <row r="92" spans="1:21" x14ac:dyDescent="0.25">
      <c r="A92" t="s">
        <v>162</v>
      </c>
      <c r="B92" s="1">
        <v>45586</v>
      </c>
      <c r="C92" t="s">
        <v>102</v>
      </c>
      <c r="D92" t="s">
        <v>37</v>
      </c>
      <c r="E92" t="s">
        <v>57</v>
      </c>
      <c r="F92" t="s">
        <v>27</v>
      </c>
      <c r="G92">
        <v>3</v>
      </c>
      <c r="H92">
        <v>15000</v>
      </c>
      <c r="I92">
        <v>10000</v>
      </c>
      <c r="J92">
        <v>5000</v>
      </c>
      <c r="K92">
        <f>IFERROR(Table1[[#This Row],[Quantity]]*Table1[[#This Row],[Transactional Unit Price]],"NA")</f>
        <v>30000</v>
      </c>
      <c r="L92">
        <f>IFERROR(Table1[[#This Row],[Standard Unit Price]]*Table1[[#This Row],[Quantity]],"NA")</f>
        <v>45000</v>
      </c>
      <c r="M92" t="s">
        <v>21</v>
      </c>
      <c r="N9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92" t="s">
        <v>37</v>
      </c>
      <c r="T92">
        <f>VLOOKUP(Table3[[#This Row],[Product Name]],Table4[#All],2,FALSE)</f>
        <v>15000</v>
      </c>
      <c r="U92">
        <f>IFERROR(Table3[[#This Row],[Standard Price ]]-Table1[[#This Row],[Price Difference]],"NA")</f>
        <v>10000</v>
      </c>
    </row>
    <row r="93" spans="1:21" x14ac:dyDescent="0.25">
      <c r="A93" t="s">
        <v>163</v>
      </c>
      <c r="B93" s="1">
        <v>45506</v>
      </c>
      <c r="C93" t="s">
        <v>150</v>
      </c>
      <c r="D93" t="s">
        <v>46</v>
      </c>
      <c r="E93" t="s">
        <v>11</v>
      </c>
      <c r="F93" t="s">
        <v>12</v>
      </c>
      <c r="G93">
        <v>5</v>
      </c>
      <c r="H93">
        <v>13000</v>
      </c>
      <c r="I93" t="s">
        <v>337</v>
      </c>
      <c r="J93" t="s">
        <v>337</v>
      </c>
      <c r="K93" t="str">
        <f>IFERROR(Table1[[#This Row],[Quantity]]*Table1[[#This Row],[Transactional Unit Price]],"NA")</f>
        <v>NA</v>
      </c>
      <c r="L93">
        <f>IFERROR(Table1[[#This Row],[Standard Unit Price]]*Table1[[#This Row],[Quantity]],"NA")</f>
        <v>65000</v>
      </c>
      <c r="M93" t="s">
        <v>13</v>
      </c>
      <c r="N9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93" t="s">
        <v>46</v>
      </c>
      <c r="T93">
        <f>VLOOKUP(Table3[[#This Row],[Product Name]],Table4[#All],2,FALSE)</f>
        <v>13000</v>
      </c>
      <c r="U93" t="str">
        <f>IFERROR(Table3[[#This Row],[Standard Price ]]-Table1[[#This Row],[Price Difference]],"NA")</f>
        <v>NA</v>
      </c>
    </row>
    <row r="94" spans="1:21" x14ac:dyDescent="0.25">
      <c r="A94" t="s">
        <v>164</v>
      </c>
      <c r="B94" s="1">
        <v>45404</v>
      </c>
      <c r="C94" t="s">
        <v>97</v>
      </c>
      <c r="D94" t="s">
        <v>26</v>
      </c>
      <c r="E94" t="s">
        <v>57</v>
      </c>
      <c r="F94" t="s">
        <v>42</v>
      </c>
      <c r="G94">
        <v>1</v>
      </c>
      <c r="H94">
        <v>12000</v>
      </c>
      <c r="I94">
        <v>12000</v>
      </c>
      <c r="J94">
        <v>0</v>
      </c>
      <c r="K94">
        <f>IFERROR(Table1[[#This Row],[Quantity]]*Table1[[#This Row],[Transactional Unit Price]],"NA")</f>
        <v>12000</v>
      </c>
      <c r="L94">
        <f>IFERROR(Table1[[#This Row],[Standard Unit Price]]*Table1[[#This Row],[Quantity]],"NA")</f>
        <v>12000</v>
      </c>
      <c r="M94" t="s">
        <v>369</v>
      </c>
      <c r="N9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94" t="s">
        <v>26</v>
      </c>
      <c r="T94">
        <f>VLOOKUP(Table3[[#This Row],[Product Name]],Table4[#All],2,FALSE)</f>
        <v>12000</v>
      </c>
      <c r="U94">
        <f>IFERROR(Table3[[#This Row],[Standard Price ]]-Table1[[#This Row],[Price Difference]],"NA")</f>
        <v>12000</v>
      </c>
    </row>
    <row r="95" spans="1:21" x14ac:dyDescent="0.25">
      <c r="A95" t="s">
        <v>165</v>
      </c>
      <c r="B95" s="1">
        <v>45639</v>
      </c>
      <c r="C95" t="s">
        <v>127</v>
      </c>
      <c r="D95" t="s">
        <v>26</v>
      </c>
      <c r="E95" t="s">
        <v>57</v>
      </c>
      <c r="F95" t="s">
        <v>12</v>
      </c>
      <c r="G95">
        <v>2</v>
      </c>
      <c r="H95">
        <v>12000</v>
      </c>
      <c r="I95">
        <v>12000</v>
      </c>
      <c r="J95">
        <v>0</v>
      </c>
      <c r="K95">
        <f>IFERROR(Table1[[#This Row],[Quantity]]*Table1[[#This Row],[Transactional Unit Price]],"NA")</f>
        <v>24000</v>
      </c>
      <c r="L95">
        <f>IFERROR(Table1[[#This Row],[Standard Unit Price]]*Table1[[#This Row],[Quantity]],"NA")</f>
        <v>24000</v>
      </c>
      <c r="M95" t="s">
        <v>13</v>
      </c>
      <c r="N9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95" t="s">
        <v>26</v>
      </c>
      <c r="T95">
        <f>VLOOKUP(Table3[[#This Row],[Product Name]],Table4[#All],2,FALSE)</f>
        <v>12000</v>
      </c>
      <c r="U95">
        <f>IFERROR(Table3[[#This Row],[Standard Price ]]-Table1[[#This Row],[Price Difference]],"NA")</f>
        <v>12000</v>
      </c>
    </row>
    <row r="96" spans="1:21" x14ac:dyDescent="0.25">
      <c r="A96" t="s">
        <v>166</v>
      </c>
      <c r="B96" s="1">
        <v>45565</v>
      </c>
      <c r="C96" t="s">
        <v>167</v>
      </c>
      <c r="D96" t="s">
        <v>10</v>
      </c>
      <c r="E96" t="s">
        <v>57</v>
      </c>
      <c r="F96" t="s">
        <v>16</v>
      </c>
      <c r="G96">
        <v>5</v>
      </c>
      <c r="H96">
        <v>10000</v>
      </c>
      <c r="I96">
        <v>8500</v>
      </c>
      <c r="J96">
        <v>1500</v>
      </c>
      <c r="K96">
        <f>IFERROR(Table1[[#This Row],[Quantity]]*Table1[[#This Row],[Transactional Unit Price]],"NA")</f>
        <v>42500</v>
      </c>
      <c r="L96">
        <f>IFERROR(Table1[[#This Row],[Standard Unit Price]]*Table1[[#This Row],[Quantity]],"NA")</f>
        <v>50000</v>
      </c>
      <c r="M96" t="s">
        <v>21</v>
      </c>
      <c r="N9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96" t="s">
        <v>10</v>
      </c>
      <c r="T96">
        <f>VLOOKUP(Table3[[#This Row],[Product Name]],Table4[#All],2,FALSE)</f>
        <v>10000</v>
      </c>
      <c r="U96">
        <f>IFERROR(Table3[[#This Row],[Standard Price ]]-Table1[[#This Row],[Price Difference]],"NA")</f>
        <v>8500</v>
      </c>
    </row>
    <row r="97" spans="1:21" x14ac:dyDescent="0.25">
      <c r="A97" t="s">
        <v>168</v>
      </c>
      <c r="B97" s="1">
        <v>45511</v>
      </c>
      <c r="C97" t="s">
        <v>59</v>
      </c>
      <c r="D97" t="s">
        <v>30</v>
      </c>
      <c r="E97" t="s">
        <v>19</v>
      </c>
      <c r="F97" t="s">
        <v>42</v>
      </c>
      <c r="G97">
        <v>2</v>
      </c>
      <c r="H97">
        <v>9200</v>
      </c>
      <c r="I97">
        <v>8500</v>
      </c>
      <c r="J97">
        <v>700</v>
      </c>
      <c r="K97">
        <f>IFERROR(Table1[[#This Row],[Quantity]]*Table1[[#This Row],[Transactional Unit Price]],"NA")</f>
        <v>17000</v>
      </c>
      <c r="L97">
        <f>IFERROR(Table1[[#This Row],[Standard Unit Price]]*Table1[[#This Row],[Quantity]],"NA")</f>
        <v>18400</v>
      </c>
      <c r="M97" t="s">
        <v>369</v>
      </c>
      <c r="N9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97" t="s">
        <v>30</v>
      </c>
      <c r="T97">
        <f>VLOOKUP(Table3[[#This Row],[Product Name]],Table4[#All],2,FALSE)</f>
        <v>9200</v>
      </c>
      <c r="U97">
        <f>IFERROR(Table3[[#This Row],[Standard Price ]]-Table1[[#This Row],[Price Difference]],"NA")</f>
        <v>8500</v>
      </c>
    </row>
    <row r="98" spans="1:21" x14ac:dyDescent="0.25">
      <c r="A98" t="s">
        <v>169</v>
      </c>
      <c r="B98" s="1">
        <v>45459</v>
      </c>
      <c r="C98" t="s">
        <v>65</v>
      </c>
      <c r="D98" t="s">
        <v>30</v>
      </c>
      <c r="E98" t="s">
        <v>57</v>
      </c>
      <c r="F98" t="s">
        <v>31</v>
      </c>
      <c r="G98">
        <v>3</v>
      </c>
      <c r="H98">
        <v>9200</v>
      </c>
      <c r="I98">
        <v>12000</v>
      </c>
      <c r="J98">
        <v>-2800</v>
      </c>
      <c r="K98">
        <f>IFERROR(Table1[[#This Row],[Quantity]]*Table1[[#This Row],[Transactional Unit Price]],"NA")</f>
        <v>36000</v>
      </c>
      <c r="L98">
        <f>IFERROR(Table1[[#This Row],[Standard Unit Price]]*Table1[[#This Row],[Quantity]],"NA")</f>
        <v>27600</v>
      </c>
      <c r="M98" t="s">
        <v>369</v>
      </c>
      <c r="N9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98" t="s">
        <v>30</v>
      </c>
      <c r="T98">
        <f>VLOOKUP(Table3[[#This Row],[Product Name]],Table4[#All],2,FALSE)</f>
        <v>9200</v>
      </c>
      <c r="U98">
        <f>IFERROR(Table3[[#This Row],[Standard Price ]]-Table1[[#This Row],[Price Difference]],"NA")</f>
        <v>12000</v>
      </c>
    </row>
    <row r="99" spans="1:21" x14ac:dyDescent="0.25">
      <c r="A99" t="s">
        <v>170</v>
      </c>
      <c r="B99" s="1">
        <v>45507</v>
      </c>
      <c r="C99" t="s">
        <v>71</v>
      </c>
      <c r="D99" t="s">
        <v>26</v>
      </c>
      <c r="E99" t="s">
        <v>19</v>
      </c>
      <c r="F99" t="s">
        <v>27</v>
      </c>
      <c r="G99">
        <v>4</v>
      </c>
      <c r="H99">
        <v>12000</v>
      </c>
      <c r="I99">
        <v>8500</v>
      </c>
      <c r="J99">
        <v>3500</v>
      </c>
      <c r="K99">
        <f>IFERROR(Table1[[#This Row],[Quantity]]*Table1[[#This Row],[Transactional Unit Price]],"NA")</f>
        <v>34000</v>
      </c>
      <c r="L99">
        <f>IFERROR(Table1[[#This Row],[Standard Unit Price]]*Table1[[#This Row],[Quantity]],"NA")</f>
        <v>48000</v>
      </c>
      <c r="M99" t="s">
        <v>13</v>
      </c>
      <c r="N9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99" t="s">
        <v>26</v>
      </c>
      <c r="T99">
        <f>VLOOKUP(Table3[[#This Row],[Product Name]],Table4[#All],2,FALSE)</f>
        <v>12000</v>
      </c>
      <c r="U99">
        <f>IFERROR(Table3[[#This Row],[Standard Price ]]-Table1[[#This Row],[Price Difference]],"NA")</f>
        <v>8500</v>
      </c>
    </row>
    <row r="100" spans="1:21" x14ac:dyDescent="0.25">
      <c r="A100" t="s">
        <v>171</v>
      </c>
      <c r="B100" s="1">
        <v>45471</v>
      </c>
      <c r="C100" t="s">
        <v>172</v>
      </c>
      <c r="D100" t="s">
        <v>30</v>
      </c>
      <c r="E100" t="s">
        <v>11</v>
      </c>
      <c r="F100" t="s">
        <v>27</v>
      </c>
      <c r="G100" t="s">
        <v>337</v>
      </c>
      <c r="H100">
        <v>9200</v>
      </c>
      <c r="I100">
        <v>8500</v>
      </c>
      <c r="J100">
        <v>700</v>
      </c>
      <c r="K100" t="str">
        <f>IFERROR(Table1[[#This Row],[Quantity]]*Table1[[#This Row],[Transactional Unit Price]],"NA")</f>
        <v>NA</v>
      </c>
      <c r="L100" t="str">
        <f>IFERROR(Table1[[#This Row],[Standard Unit Price]]*Table1[[#This Row],[Quantity]],"NA")</f>
        <v>NA</v>
      </c>
      <c r="M100" t="s">
        <v>21</v>
      </c>
      <c r="N10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00" t="s">
        <v>30</v>
      </c>
      <c r="T100">
        <f>VLOOKUP(Table3[[#This Row],[Product Name]],Table4[#All],2,FALSE)</f>
        <v>9200</v>
      </c>
      <c r="U100">
        <f>IFERROR(Table3[[#This Row],[Standard Price ]]-Table1[[#This Row],[Price Difference]],"NA")</f>
        <v>8500</v>
      </c>
    </row>
    <row r="101" spans="1:21" x14ac:dyDescent="0.25">
      <c r="A101" t="s">
        <v>173</v>
      </c>
      <c r="B101" s="1">
        <v>45394</v>
      </c>
      <c r="C101" t="s">
        <v>94</v>
      </c>
      <c r="D101" t="s">
        <v>26</v>
      </c>
      <c r="E101" t="s">
        <v>11</v>
      </c>
      <c r="F101" t="s">
        <v>16</v>
      </c>
      <c r="G101">
        <v>2</v>
      </c>
      <c r="H101">
        <v>12000</v>
      </c>
      <c r="I101">
        <v>9200</v>
      </c>
      <c r="J101">
        <v>2800</v>
      </c>
      <c r="K101">
        <f>IFERROR(Table1[[#This Row],[Quantity]]*Table1[[#This Row],[Transactional Unit Price]],"NA")</f>
        <v>18400</v>
      </c>
      <c r="L101">
        <f>IFERROR(Table1[[#This Row],[Standard Unit Price]]*Table1[[#This Row],[Quantity]],"NA")</f>
        <v>24000</v>
      </c>
      <c r="M101" t="s">
        <v>13</v>
      </c>
      <c r="N10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01" t="s">
        <v>26</v>
      </c>
      <c r="T101">
        <f>VLOOKUP(Table3[[#This Row],[Product Name]],Table4[#All],2,FALSE)</f>
        <v>12000</v>
      </c>
      <c r="U101">
        <f>IFERROR(Table3[[#This Row],[Standard Price ]]-Table1[[#This Row],[Price Difference]],"NA")</f>
        <v>9200</v>
      </c>
    </row>
    <row r="102" spans="1:21" x14ac:dyDescent="0.25">
      <c r="A102" t="s">
        <v>174</v>
      </c>
      <c r="B102" s="1">
        <v>45634</v>
      </c>
      <c r="C102" t="s">
        <v>41</v>
      </c>
      <c r="D102" t="s">
        <v>10</v>
      </c>
      <c r="E102" t="s">
        <v>49</v>
      </c>
      <c r="F102" t="s">
        <v>20</v>
      </c>
      <c r="G102">
        <v>4</v>
      </c>
      <c r="H102">
        <v>10000</v>
      </c>
      <c r="I102">
        <v>10000</v>
      </c>
      <c r="J102">
        <v>0</v>
      </c>
      <c r="K102">
        <f>IFERROR(Table1[[#This Row],[Quantity]]*Table1[[#This Row],[Transactional Unit Price]],"NA")</f>
        <v>40000</v>
      </c>
      <c r="L102">
        <f>IFERROR(Table1[[#This Row],[Standard Unit Price]]*Table1[[#This Row],[Quantity]],"NA")</f>
        <v>40000</v>
      </c>
      <c r="M102" t="s">
        <v>369</v>
      </c>
      <c r="N10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02" t="s">
        <v>10</v>
      </c>
      <c r="T102">
        <f>VLOOKUP(Table3[[#This Row],[Product Name]],Table4[#All],2,FALSE)</f>
        <v>10000</v>
      </c>
      <c r="U102">
        <f>IFERROR(Table3[[#This Row],[Standard Price ]]-Table1[[#This Row],[Price Difference]],"NA")</f>
        <v>10000</v>
      </c>
    </row>
    <row r="103" spans="1:21" x14ac:dyDescent="0.25">
      <c r="A103" t="s">
        <v>175</v>
      </c>
      <c r="B103" s="1">
        <v>45602</v>
      </c>
      <c r="C103" t="s">
        <v>29</v>
      </c>
      <c r="D103" t="s">
        <v>46</v>
      </c>
      <c r="E103" t="s">
        <v>11</v>
      </c>
      <c r="F103" t="s">
        <v>12</v>
      </c>
      <c r="G103">
        <v>1</v>
      </c>
      <c r="H103">
        <v>13000</v>
      </c>
      <c r="I103">
        <v>9200</v>
      </c>
      <c r="J103">
        <v>3800</v>
      </c>
      <c r="K103">
        <f>IFERROR(Table1[[#This Row],[Quantity]]*Table1[[#This Row],[Transactional Unit Price]],"NA")</f>
        <v>9200</v>
      </c>
      <c r="L103">
        <f>IFERROR(Table1[[#This Row],[Standard Unit Price]]*Table1[[#This Row],[Quantity]],"NA")</f>
        <v>13000</v>
      </c>
      <c r="M103" t="s">
        <v>369</v>
      </c>
      <c r="N10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03" t="s">
        <v>46</v>
      </c>
      <c r="T103">
        <f>VLOOKUP(Table3[[#This Row],[Product Name]],Table4[#All],2,FALSE)</f>
        <v>13000</v>
      </c>
      <c r="U103">
        <f>IFERROR(Table3[[#This Row],[Standard Price ]]-Table1[[#This Row],[Price Difference]],"NA")</f>
        <v>9200</v>
      </c>
    </row>
    <row r="104" spans="1:21" x14ac:dyDescent="0.25">
      <c r="A104" t="s">
        <v>176</v>
      </c>
      <c r="B104" s="1">
        <v>45588</v>
      </c>
      <c r="C104" t="s">
        <v>80</v>
      </c>
      <c r="D104" t="s">
        <v>10</v>
      </c>
      <c r="E104" t="s">
        <v>34</v>
      </c>
      <c r="F104" t="s">
        <v>16</v>
      </c>
      <c r="G104" t="s">
        <v>337</v>
      </c>
      <c r="H104">
        <v>10000</v>
      </c>
      <c r="I104">
        <v>12000</v>
      </c>
      <c r="J104">
        <v>-2000</v>
      </c>
      <c r="K104" t="str">
        <f>IFERROR(Table1[[#This Row],[Quantity]]*Table1[[#This Row],[Transactional Unit Price]],"NA")</f>
        <v>NA</v>
      </c>
      <c r="L104" t="str">
        <f>IFERROR(Table1[[#This Row],[Standard Unit Price]]*Table1[[#This Row],[Quantity]],"NA")</f>
        <v>NA</v>
      </c>
      <c r="M104" t="s">
        <v>21</v>
      </c>
      <c r="N10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04" t="s">
        <v>10</v>
      </c>
      <c r="T104">
        <f>VLOOKUP(Table3[[#This Row],[Product Name]],Table4[#All],2,FALSE)</f>
        <v>10000</v>
      </c>
      <c r="U104">
        <f>IFERROR(Table3[[#This Row],[Standard Price ]]-Table1[[#This Row],[Price Difference]],"NA")</f>
        <v>12000</v>
      </c>
    </row>
    <row r="105" spans="1:21" x14ac:dyDescent="0.25">
      <c r="A105" t="s">
        <v>177</v>
      </c>
      <c r="B105" s="1">
        <v>45393</v>
      </c>
      <c r="C105" t="s">
        <v>178</v>
      </c>
      <c r="D105" t="s">
        <v>10</v>
      </c>
      <c r="E105" t="s">
        <v>49</v>
      </c>
      <c r="F105" t="s">
        <v>12</v>
      </c>
      <c r="G105" t="s">
        <v>337</v>
      </c>
      <c r="H105">
        <v>10000</v>
      </c>
      <c r="I105">
        <v>9200</v>
      </c>
      <c r="J105">
        <v>800</v>
      </c>
      <c r="K105" t="str">
        <f>IFERROR(Table1[[#This Row],[Quantity]]*Table1[[#This Row],[Transactional Unit Price]],"NA")</f>
        <v>NA</v>
      </c>
      <c r="L105" t="str">
        <f>IFERROR(Table1[[#This Row],[Standard Unit Price]]*Table1[[#This Row],[Quantity]],"NA")</f>
        <v>NA</v>
      </c>
      <c r="M105" t="s">
        <v>21</v>
      </c>
      <c r="N10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05" t="s">
        <v>10</v>
      </c>
      <c r="T105">
        <f>VLOOKUP(Table3[[#This Row],[Product Name]],Table4[#All],2,FALSE)</f>
        <v>10000</v>
      </c>
      <c r="U105">
        <f>IFERROR(Table3[[#This Row],[Standard Price ]]-Table1[[#This Row],[Price Difference]],"NA")</f>
        <v>9200</v>
      </c>
    </row>
    <row r="106" spans="1:21" x14ac:dyDescent="0.25">
      <c r="A106" t="s">
        <v>179</v>
      </c>
      <c r="B106" s="1">
        <v>45446</v>
      </c>
      <c r="C106" t="s">
        <v>180</v>
      </c>
      <c r="D106" t="s">
        <v>26</v>
      </c>
      <c r="E106" t="s">
        <v>11</v>
      </c>
      <c r="F106" t="s">
        <v>16</v>
      </c>
      <c r="G106">
        <v>1</v>
      </c>
      <c r="H106">
        <v>12000</v>
      </c>
      <c r="I106" t="s">
        <v>337</v>
      </c>
      <c r="J106" t="s">
        <v>337</v>
      </c>
      <c r="K106" t="str">
        <f>IFERROR(Table1[[#This Row],[Quantity]]*Table1[[#This Row],[Transactional Unit Price]],"NA")</f>
        <v>NA</v>
      </c>
      <c r="L106">
        <f>IFERROR(Table1[[#This Row],[Standard Unit Price]]*Table1[[#This Row],[Quantity]],"NA")</f>
        <v>12000</v>
      </c>
      <c r="M106" t="s">
        <v>21</v>
      </c>
      <c r="N10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06" t="s">
        <v>26</v>
      </c>
      <c r="T106">
        <f>VLOOKUP(Table3[[#This Row],[Product Name]],Table4[#All],2,FALSE)</f>
        <v>12000</v>
      </c>
      <c r="U106" t="str">
        <f>IFERROR(Table3[[#This Row],[Standard Price ]]-Table1[[#This Row],[Price Difference]],"NA")</f>
        <v>NA</v>
      </c>
    </row>
    <row r="107" spans="1:21" x14ac:dyDescent="0.25">
      <c r="A107" t="s">
        <v>181</v>
      </c>
      <c r="B107" s="1">
        <v>45564</v>
      </c>
      <c r="C107" t="s">
        <v>182</v>
      </c>
      <c r="D107" t="s">
        <v>37</v>
      </c>
      <c r="E107" t="s">
        <v>11</v>
      </c>
      <c r="F107" t="s">
        <v>31</v>
      </c>
      <c r="G107">
        <v>1</v>
      </c>
      <c r="H107">
        <v>15000</v>
      </c>
      <c r="I107" t="s">
        <v>337</v>
      </c>
      <c r="J107" t="s">
        <v>337</v>
      </c>
      <c r="K107" t="str">
        <f>IFERROR(Table1[[#This Row],[Quantity]]*Table1[[#This Row],[Transactional Unit Price]],"NA")</f>
        <v>NA</v>
      </c>
      <c r="L107">
        <f>IFERROR(Table1[[#This Row],[Standard Unit Price]]*Table1[[#This Row],[Quantity]],"NA")</f>
        <v>15000</v>
      </c>
      <c r="M107" t="s">
        <v>369</v>
      </c>
      <c r="N10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07" t="s">
        <v>37</v>
      </c>
      <c r="T107">
        <f>VLOOKUP(Table3[[#This Row],[Product Name]],Table4[#All],2,FALSE)</f>
        <v>15000</v>
      </c>
      <c r="U107" t="str">
        <f>IFERROR(Table3[[#This Row],[Standard Price ]]-Table1[[#This Row],[Price Difference]],"NA")</f>
        <v>NA</v>
      </c>
    </row>
    <row r="108" spans="1:21" x14ac:dyDescent="0.25">
      <c r="A108" t="s">
        <v>183</v>
      </c>
      <c r="B108" s="1">
        <v>45507</v>
      </c>
      <c r="C108" t="s">
        <v>80</v>
      </c>
      <c r="D108" t="s">
        <v>26</v>
      </c>
      <c r="E108" t="s">
        <v>57</v>
      </c>
      <c r="F108" t="s">
        <v>27</v>
      </c>
      <c r="G108">
        <v>4</v>
      </c>
      <c r="H108">
        <v>12000</v>
      </c>
      <c r="I108">
        <v>10000</v>
      </c>
      <c r="J108">
        <v>2000</v>
      </c>
      <c r="K108">
        <f>IFERROR(Table1[[#This Row],[Quantity]]*Table1[[#This Row],[Transactional Unit Price]],"NA")</f>
        <v>40000</v>
      </c>
      <c r="L108">
        <f>IFERROR(Table1[[#This Row],[Standard Unit Price]]*Table1[[#This Row],[Quantity]],"NA")</f>
        <v>48000</v>
      </c>
      <c r="M108" t="s">
        <v>21</v>
      </c>
      <c r="N10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08" t="s">
        <v>26</v>
      </c>
      <c r="T108">
        <f>VLOOKUP(Table3[[#This Row],[Product Name]],Table4[#All],2,FALSE)</f>
        <v>12000</v>
      </c>
      <c r="U108">
        <f>IFERROR(Table3[[#This Row],[Standard Price ]]-Table1[[#This Row],[Price Difference]],"NA")</f>
        <v>10000</v>
      </c>
    </row>
    <row r="109" spans="1:21" x14ac:dyDescent="0.25">
      <c r="A109" t="s">
        <v>184</v>
      </c>
      <c r="B109" s="1">
        <v>45370</v>
      </c>
      <c r="C109" t="s">
        <v>114</v>
      </c>
      <c r="D109" t="s">
        <v>37</v>
      </c>
      <c r="E109" t="s">
        <v>19</v>
      </c>
      <c r="F109" t="s">
        <v>12</v>
      </c>
      <c r="G109">
        <v>5</v>
      </c>
      <c r="H109">
        <v>15000</v>
      </c>
      <c r="I109">
        <v>10000</v>
      </c>
      <c r="J109">
        <v>5000</v>
      </c>
      <c r="K109">
        <f>IFERROR(Table1[[#This Row],[Quantity]]*Table1[[#This Row],[Transactional Unit Price]],"NA")</f>
        <v>50000</v>
      </c>
      <c r="L109">
        <f>IFERROR(Table1[[#This Row],[Standard Unit Price]]*Table1[[#This Row],[Quantity]],"NA")</f>
        <v>75000</v>
      </c>
      <c r="M109" t="s">
        <v>13</v>
      </c>
      <c r="N10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09" t="s">
        <v>37</v>
      </c>
      <c r="T109">
        <f>VLOOKUP(Table3[[#This Row],[Product Name]],Table4[#All],2,FALSE)</f>
        <v>15000</v>
      </c>
      <c r="U109">
        <f>IFERROR(Table3[[#This Row],[Standard Price ]]-Table1[[#This Row],[Price Difference]],"NA")</f>
        <v>10000</v>
      </c>
    </row>
    <row r="110" spans="1:21" x14ac:dyDescent="0.25">
      <c r="A110" t="s">
        <v>185</v>
      </c>
      <c r="B110" s="1">
        <v>45567</v>
      </c>
      <c r="C110" t="s">
        <v>109</v>
      </c>
      <c r="D110" t="s">
        <v>26</v>
      </c>
      <c r="E110" t="s">
        <v>57</v>
      </c>
      <c r="F110" t="s">
        <v>42</v>
      </c>
      <c r="G110">
        <v>4</v>
      </c>
      <c r="H110">
        <v>12000</v>
      </c>
      <c r="I110" t="s">
        <v>337</v>
      </c>
      <c r="J110" t="s">
        <v>337</v>
      </c>
      <c r="K110" t="str">
        <f>IFERROR(Table1[[#This Row],[Quantity]]*Table1[[#This Row],[Transactional Unit Price]],"NA")</f>
        <v>NA</v>
      </c>
      <c r="L110">
        <f>IFERROR(Table1[[#This Row],[Standard Unit Price]]*Table1[[#This Row],[Quantity]],"NA")</f>
        <v>48000</v>
      </c>
      <c r="M110" t="s">
        <v>369</v>
      </c>
      <c r="N11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10" t="s">
        <v>26</v>
      </c>
      <c r="T110">
        <f>VLOOKUP(Table3[[#This Row],[Product Name]],Table4[#All],2,FALSE)</f>
        <v>12000</v>
      </c>
      <c r="U110" t="str">
        <f>IFERROR(Table3[[#This Row],[Standard Price ]]-Table1[[#This Row],[Price Difference]],"NA")</f>
        <v>NA</v>
      </c>
    </row>
    <row r="111" spans="1:21" x14ac:dyDescent="0.25">
      <c r="A111" t="s">
        <v>186</v>
      </c>
      <c r="B111" s="1">
        <v>45417</v>
      </c>
      <c r="C111" t="s">
        <v>36</v>
      </c>
      <c r="D111" t="s">
        <v>26</v>
      </c>
      <c r="E111" t="s">
        <v>11</v>
      </c>
      <c r="F111" t="s">
        <v>31</v>
      </c>
      <c r="G111">
        <v>4</v>
      </c>
      <c r="H111">
        <v>12000</v>
      </c>
      <c r="I111">
        <v>9200</v>
      </c>
      <c r="J111">
        <v>2800</v>
      </c>
      <c r="K111">
        <f>IFERROR(Table1[[#This Row],[Quantity]]*Table1[[#This Row],[Transactional Unit Price]],"NA")</f>
        <v>36800</v>
      </c>
      <c r="L111">
        <f>IFERROR(Table1[[#This Row],[Standard Unit Price]]*Table1[[#This Row],[Quantity]],"NA")</f>
        <v>48000</v>
      </c>
      <c r="M111" t="s">
        <v>21</v>
      </c>
      <c r="N11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11" t="s">
        <v>26</v>
      </c>
      <c r="T111">
        <f>VLOOKUP(Table3[[#This Row],[Product Name]],Table4[#All],2,FALSE)</f>
        <v>12000</v>
      </c>
      <c r="U111">
        <f>IFERROR(Table3[[#This Row],[Standard Price ]]-Table1[[#This Row],[Price Difference]],"NA")</f>
        <v>9200</v>
      </c>
    </row>
    <row r="112" spans="1:21" x14ac:dyDescent="0.25">
      <c r="A112" t="s">
        <v>187</v>
      </c>
      <c r="B112" s="1">
        <v>45604</v>
      </c>
      <c r="C112" t="s">
        <v>129</v>
      </c>
      <c r="D112" t="s">
        <v>10</v>
      </c>
      <c r="E112" t="s">
        <v>57</v>
      </c>
      <c r="F112" t="s">
        <v>31</v>
      </c>
      <c r="G112">
        <v>1</v>
      </c>
      <c r="H112">
        <v>10000</v>
      </c>
      <c r="I112">
        <v>12000</v>
      </c>
      <c r="J112">
        <v>-2000</v>
      </c>
      <c r="K112">
        <f>IFERROR(Table1[[#This Row],[Quantity]]*Table1[[#This Row],[Transactional Unit Price]],"NA")</f>
        <v>12000</v>
      </c>
      <c r="L112">
        <f>IFERROR(Table1[[#This Row],[Standard Unit Price]]*Table1[[#This Row],[Quantity]],"NA")</f>
        <v>10000</v>
      </c>
      <c r="M112" t="s">
        <v>369</v>
      </c>
      <c r="N11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12" t="s">
        <v>10</v>
      </c>
      <c r="T112">
        <f>VLOOKUP(Table3[[#This Row],[Product Name]],Table4[#All],2,FALSE)</f>
        <v>10000</v>
      </c>
      <c r="U112">
        <f>IFERROR(Table3[[#This Row],[Standard Price ]]-Table1[[#This Row],[Price Difference]],"NA")</f>
        <v>12000</v>
      </c>
    </row>
    <row r="113" spans="1:21" x14ac:dyDescent="0.25">
      <c r="A113" t="s">
        <v>188</v>
      </c>
      <c r="B113" s="1">
        <v>45541</v>
      </c>
      <c r="C113" t="s">
        <v>178</v>
      </c>
      <c r="D113" t="s">
        <v>30</v>
      </c>
      <c r="E113" t="s">
        <v>34</v>
      </c>
      <c r="F113" t="s">
        <v>31</v>
      </c>
      <c r="G113">
        <v>3</v>
      </c>
      <c r="H113">
        <v>9200</v>
      </c>
      <c r="I113">
        <v>10000</v>
      </c>
      <c r="J113">
        <v>-800</v>
      </c>
      <c r="K113">
        <f>IFERROR(Table1[[#This Row],[Quantity]]*Table1[[#This Row],[Transactional Unit Price]],"NA")</f>
        <v>30000</v>
      </c>
      <c r="L113">
        <f>IFERROR(Table1[[#This Row],[Standard Unit Price]]*Table1[[#This Row],[Quantity]],"NA")</f>
        <v>27600</v>
      </c>
      <c r="M113" t="s">
        <v>13</v>
      </c>
      <c r="N11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13" t="s">
        <v>30</v>
      </c>
      <c r="T113">
        <f>VLOOKUP(Table3[[#This Row],[Product Name]],Table4[#All],2,FALSE)</f>
        <v>9200</v>
      </c>
      <c r="U113">
        <f>IFERROR(Table3[[#This Row],[Standard Price ]]-Table1[[#This Row],[Price Difference]],"NA")</f>
        <v>10000</v>
      </c>
    </row>
    <row r="114" spans="1:21" x14ac:dyDescent="0.25">
      <c r="A114" t="s">
        <v>189</v>
      </c>
      <c r="B114" s="1">
        <v>45433</v>
      </c>
      <c r="C114" t="s">
        <v>84</v>
      </c>
      <c r="D114" t="s">
        <v>46</v>
      </c>
      <c r="E114" t="s">
        <v>11</v>
      </c>
      <c r="F114" t="s">
        <v>16</v>
      </c>
      <c r="G114">
        <v>2</v>
      </c>
      <c r="H114">
        <v>13000</v>
      </c>
      <c r="I114">
        <v>8500</v>
      </c>
      <c r="J114">
        <v>4500</v>
      </c>
      <c r="K114">
        <f>IFERROR(Table1[[#This Row],[Quantity]]*Table1[[#This Row],[Transactional Unit Price]],"NA")</f>
        <v>17000</v>
      </c>
      <c r="L114">
        <f>IFERROR(Table1[[#This Row],[Standard Unit Price]]*Table1[[#This Row],[Quantity]],"NA")</f>
        <v>26000</v>
      </c>
      <c r="M114" t="s">
        <v>13</v>
      </c>
      <c r="N11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14" t="s">
        <v>46</v>
      </c>
      <c r="T114">
        <f>VLOOKUP(Table3[[#This Row],[Product Name]],Table4[#All],2,FALSE)</f>
        <v>13000</v>
      </c>
      <c r="U114">
        <f>IFERROR(Table3[[#This Row],[Standard Price ]]-Table1[[#This Row],[Price Difference]],"NA")</f>
        <v>8500</v>
      </c>
    </row>
    <row r="115" spans="1:21" x14ac:dyDescent="0.25">
      <c r="A115" t="s">
        <v>190</v>
      </c>
      <c r="B115" s="1">
        <v>45500</v>
      </c>
      <c r="C115" t="s">
        <v>23</v>
      </c>
      <c r="D115" t="s">
        <v>37</v>
      </c>
      <c r="E115" t="s">
        <v>49</v>
      </c>
      <c r="F115" t="s">
        <v>20</v>
      </c>
      <c r="G115" t="s">
        <v>337</v>
      </c>
      <c r="H115">
        <v>15000</v>
      </c>
      <c r="I115">
        <v>12000</v>
      </c>
      <c r="J115">
        <v>3000</v>
      </c>
      <c r="K115" t="str">
        <f>IFERROR(Table1[[#This Row],[Quantity]]*Table1[[#This Row],[Transactional Unit Price]],"NA")</f>
        <v>NA</v>
      </c>
      <c r="L115" t="str">
        <f>IFERROR(Table1[[#This Row],[Standard Unit Price]]*Table1[[#This Row],[Quantity]],"NA")</f>
        <v>NA</v>
      </c>
      <c r="M115" t="s">
        <v>21</v>
      </c>
      <c r="N11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15" t="s">
        <v>37</v>
      </c>
      <c r="T115">
        <f>VLOOKUP(Table3[[#This Row],[Product Name]],Table4[#All],2,FALSE)</f>
        <v>15000</v>
      </c>
      <c r="U115">
        <f>IFERROR(Table3[[#This Row],[Standard Price ]]-Table1[[#This Row],[Price Difference]],"NA")</f>
        <v>12000</v>
      </c>
    </row>
    <row r="116" spans="1:21" x14ac:dyDescent="0.25">
      <c r="A116" t="s">
        <v>191</v>
      </c>
      <c r="B116" s="1">
        <v>45300</v>
      </c>
      <c r="C116" t="s">
        <v>97</v>
      </c>
      <c r="D116" t="s">
        <v>10</v>
      </c>
      <c r="E116" t="s">
        <v>34</v>
      </c>
      <c r="F116" t="s">
        <v>20</v>
      </c>
      <c r="G116">
        <v>4</v>
      </c>
      <c r="H116">
        <v>10000</v>
      </c>
      <c r="I116">
        <v>9200</v>
      </c>
      <c r="J116">
        <v>800</v>
      </c>
      <c r="K116">
        <f>IFERROR(Table1[[#This Row],[Quantity]]*Table1[[#This Row],[Transactional Unit Price]],"NA")</f>
        <v>36800</v>
      </c>
      <c r="L116">
        <f>IFERROR(Table1[[#This Row],[Standard Unit Price]]*Table1[[#This Row],[Quantity]],"NA")</f>
        <v>40000</v>
      </c>
      <c r="M116" t="s">
        <v>369</v>
      </c>
      <c r="N11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16" t="s">
        <v>10</v>
      </c>
      <c r="T116">
        <f>VLOOKUP(Table3[[#This Row],[Product Name]],Table4[#All],2,FALSE)</f>
        <v>10000</v>
      </c>
      <c r="U116">
        <f>IFERROR(Table3[[#This Row],[Standard Price ]]-Table1[[#This Row],[Price Difference]],"NA")</f>
        <v>9200</v>
      </c>
    </row>
    <row r="117" spans="1:21" x14ac:dyDescent="0.25">
      <c r="A117" t="s">
        <v>192</v>
      </c>
      <c r="B117" s="1">
        <v>45589</v>
      </c>
      <c r="C117" t="s">
        <v>99</v>
      </c>
      <c r="D117" t="s">
        <v>26</v>
      </c>
      <c r="E117" t="s">
        <v>57</v>
      </c>
      <c r="F117" t="s">
        <v>16</v>
      </c>
      <c r="G117">
        <v>5</v>
      </c>
      <c r="H117">
        <v>12000</v>
      </c>
      <c r="I117">
        <v>10000</v>
      </c>
      <c r="J117">
        <v>2000</v>
      </c>
      <c r="K117">
        <f>IFERROR(Table1[[#This Row],[Quantity]]*Table1[[#This Row],[Transactional Unit Price]],"NA")</f>
        <v>50000</v>
      </c>
      <c r="L117">
        <f>IFERROR(Table1[[#This Row],[Standard Unit Price]]*Table1[[#This Row],[Quantity]],"NA")</f>
        <v>60000</v>
      </c>
      <c r="M117" t="s">
        <v>21</v>
      </c>
      <c r="N11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17" t="s">
        <v>26</v>
      </c>
      <c r="T117">
        <f>VLOOKUP(Table3[[#This Row],[Product Name]],Table4[#All],2,FALSE)</f>
        <v>12000</v>
      </c>
      <c r="U117">
        <f>IFERROR(Table3[[#This Row],[Standard Price ]]-Table1[[#This Row],[Price Difference]],"NA")</f>
        <v>10000</v>
      </c>
    </row>
    <row r="118" spans="1:21" x14ac:dyDescent="0.25">
      <c r="A118" t="s">
        <v>193</v>
      </c>
      <c r="B118" s="1">
        <v>45573</v>
      </c>
      <c r="C118" t="s">
        <v>194</v>
      </c>
      <c r="D118" t="s">
        <v>26</v>
      </c>
      <c r="E118" t="s">
        <v>34</v>
      </c>
      <c r="F118" t="s">
        <v>12</v>
      </c>
      <c r="G118">
        <v>4</v>
      </c>
      <c r="H118">
        <v>12000</v>
      </c>
      <c r="I118">
        <v>10000</v>
      </c>
      <c r="J118">
        <v>2000</v>
      </c>
      <c r="K118">
        <f>IFERROR(Table1[[#This Row],[Quantity]]*Table1[[#This Row],[Transactional Unit Price]],"NA")</f>
        <v>40000</v>
      </c>
      <c r="L118">
        <f>IFERROR(Table1[[#This Row],[Standard Unit Price]]*Table1[[#This Row],[Quantity]],"NA")</f>
        <v>48000</v>
      </c>
      <c r="M118" t="s">
        <v>369</v>
      </c>
      <c r="N11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18" t="s">
        <v>26</v>
      </c>
      <c r="T118">
        <f>VLOOKUP(Table3[[#This Row],[Product Name]],Table4[#All],2,FALSE)</f>
        <v>12000</v>
      </c>
      <c r="U118">
        <f>IFERROR(Table3[[#This Row],[Standard Price ]]-Table1[[#This Row],[Price Difference]],"NA")</f>
        <v>10000</v>
      </c>
    </row>
    <row r="119" spans="1:21" x14ac:dyDescent="0.25">
      <c r="A119" t="s">
        <v>195</v>
      </c>
      <c r="B119" s="1">
        <v>45410</v>
      </c>
      <c r="C119" t="s">
        <v>65</v>
      </c>
      <c r="D119" t="s">
        <v>10</v>
      </c>
      <c r="E119" t="s">
        <v>11</v>
      </c>
      <c r="F119" t="s">
        <v>20</v>
      </c>
      <c r="G119">
        <v>3</v>
      </c>
      <c r="H119">
        <v>10000</v>
      </c>
      <c r="I119">
        <v>8500</v>
      </c>
      <c r="J119">
        <v>1500</v>
      </c>
      <c r="K119">
        <f>IFERROR(Table1[[#This Row],[Quantity]]*Table1[[#This Row],[Transactional Unit Price]],"NA")</f>
        <v>25500</v>
      </c>
      <c r="L119">
        <f>IFERROR(Table1[[#This Row],[Standard Unit Price]]*Table1[[#This Row],[Quantity]],"NA")</f>
        <v>30000</v>
      </c>
      <c r="M119" t="s">
        <v>13</v>
      </c>
      <c r="N11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19" t="s">
        <v>10</v>
      </c>
      <c r="T119">
        <f>VLOOKUP(Table3[[#This Row],[Product Name]],Table4[#All],2,FALSE)</f>
        <v>10000</v>
      </c>
      <c r="U119">
        <f>IFERROR(Table3[[#This Row],[Standard Price ]]-Table1[[#This Row],[Price Difference]],"NA")</f>
        <v>8500</v>
      </c>
    </row>
    <row r="120" spans="1:21" x14ac:dyDescent="0.25">
      <c r="A120" t="s">
        <v>196</v>
      </c>
      <c r="B120" s="1">
        <v>45645</v>
      </c>
      <c r="C120" t="s">
        <v>84</v>
      </c>
      <c r="D120" t="s">
        <v>30</v>
      </c>
      <c r="E120" t="s">
        <v>19</v>
      </c>
      <c r="F120" t="s">
        <v>20</v>
      </c>
      <c r="G120" t="s">
        <v>337</v>
      </c>
      <c r="H120">
        <v>9200</v>
      </c>
      <c r="I120">
        <v>12000</v>
      </c>
      <c r="J120">
        <v>-2800</v>
      </c>
      <c r="K120" t="str">
        <f>IFERROR(Table1[[#This Row],[Quantity]]*Table1[[#This Row],[Transactional Unit Price]],"NA")</f>
        <v>NA</v>
      </c>
      <c r="L120" t="str">
        <f>IFERROR(Table1[[#This Row],[Standard Unit Price]]*Table1[[#This Row],[Quantity]],"NA")</f>
        <v>NA</v>
      </c>
      <c r="M120" t="s">
        <v>369</v>
      </c>
      <c r="N12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20" t="s">
        <v>30</v>
      </c>
      <c r="T120">
        <f>VLOOKUP(Table3[[#This Row],[Product Name]],Table4[#All],2,FALSE)</f>
        <v>9200</v>
      </c>
      <c r="U120">
        <f>IFERROR(Table3[[#This Row],[Standard Price ]]-Table1[[#This Row],[Price Difference]],"NA")</f>
        <v>12000</v>
      </c>
    </row>
    <row r="121" spans="1:21" x14ac:dyDescent="0.25">
      <c r="A121" t="s">
        <v>197</v>
      </c>
      <c r="B121" s="1">
        <v>45593</v>
      </c>
      <c r="C121" t="s">
        <v>198</v>
      </c>
      <c r="D121" t="s">
        <v>26</v>
      </c>
      <c r="E121" t="s">
        <v>49</v>
      </c>
      <c r="F121" t="s">
        <v>16</v>
      </c>
      <c r="G121">
        <v>3</v>
      </c>
      <c r="H121">
        <v>12000</v>
      </c>
      <c r="I121">
        <v>8500</v>
      </c>
      <c r="J121">
        <v>3500</v>
      </c>
      <c r="K121">
        <f>IFERROR(Table1[[#This Row],[Quantity]]*Table1[[#This Row],[Transactional Unit Price]],"NA")</f>
        <v>25500</v>
      </c>
      <c r="L121">
        <f>IFERROR(Table1[[#This Row],[Standard Unit Price]]*Table1[[#This Row],[Quantity]],"NA")</f>
        <v>36000</v>
      </c>
      <c r="M121" t="s">
        <v>13</v>
      </c>
      <c r="N12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21" t="s">
        <v>26</v>
      </c>
      <c r="T121">
        <f>VLOOKUP(Table3[[#This Row],[Product Name]],Table4[#All],2,FALSE)</f>
        <v>12000</v>
      </c>
      <c r="U121">
        <f>IFERROR(Table3[[#This Row],[Standard Price ]]-Table1[[#This Row],[Price Difference]],"NA")</f>
        <v>8500</v>
      </c>
    </row>
    <row r="122" spans="1:21" x14ac:dyDescent="0.25">
      <c r="A122" t="s">
        <v>199</v>
      </c>
      <c r="B122" s="1">
        <v>45408</v>
      </c>
      <c r="C122" t="s">
        <v>25</v>
      </c>
      <c r="D122" t="s">
        <v>26</v>
      </c>
      <c r="E122" t="s">
        <v>19</v>
      </c>
      <c r="F122" t="s">
        <v>31</v>
      </c>
      <c r="G122">
        <v>1</v>
      </c>
      <c r="H122">
        <v>12000</v>
      </c>
      <c r="I122" t="s">
        <v>337</v>
      </c>
      <c r="J122" t="s">
        <v>337</v>
      </c>
      <c r="K122" t="str">
        <f>IFERROR(Table1[[#This Row],[Quantity]]*Table1[[#This Row],[Transactional Unit Price]],"NA")</f>
        <v>NA</v>
      </c>
      <c r="L122">
        <f>IFERROR(Table1[[#This Row],[Standard Unit Price]]*Table1[[#This Row],[Quantity]],"NA")</f>
        <v>12000</v>
      </c>
      <c r="M122" t="s">
        <v>13</v>
      </c>
      <c r="N12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22" t="s">
        <v>26</v>
      </c>
      <c r="T122">
        <f>VLOOKUP(Table3[[#This Row],[Product Name]],Table4[#All],2,FALSE)</f>
        <v>12000</v>
      </c>
      <c r="U122" t="str">
        <f>IFERROR(Table3[[#This Row],[Standard Price ]]-Table1[[#This Row],[Price Difference]],"NA")</f>
        <v>NA</v>
      </c>
    </row>
    <row r="123" spans="1:21" x14ac:dyDescent="0.25">
      <c r="A123" t="s">
        <v>200</v>
      </c>
      <c r="B123" s="1">
        <v>45315</v>
      </c>
      <c r="C123" t="s">
        <v>29</v>
      </c>
      <c r="D123" t="s">
        <v>10</v>
      </c>
      <c r="E123" t="s">
        <v>49</v>
      </c>
      <c r="F123" t="s">
        <v>31</v>
      </c>
      <c r="G123" t="s">
        <v>337</v>
      </c>
      <c r="H123">
        <v>10000</v>
      </c>
      <c r="I123">
        <v>9200</v>
      </c>
      <c r="J123">
        <v>800</v>
      </c>
      <c r="K123" t="str">
        <f>IFERROR(Table1[[#This Row],[Quantity]]*Table1[[#This Row],[Transactional Unit Price]],"NA")</f>
        <v>NA</v>
      </c>
      <c r="L123" t="str">
        <f>IFERROR(Table1[[#This Row],[Standard Unit Price]]*Table1[[#This Row],[Quantity]],"NA")</f>
        <v>NA</v>
      </c>
      <c r="M123" t="s">
        <v>21</v>
      </c>
      <c r="N12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23" t="s">
        <v>10</v>
      </c>
      <c r="T123">
        <f>VLOOKUP(Table3[[#This Row],[Product Name]],Table4[#All],2,FALSE)</f>
        <v>10000</v>
      </c>
      <c r="U123">
        <f>IFERROR(Table3[[#This Row],[Standard Price ]]-Table1[[#This Row],[Price Difference]],"NA")</f>
        <v>9200</v>
      </c>
    </row>
    <row r="124" spans="1:21" x14ac:dyDescent="0.25">
      <c r="A124" t="s">
        <v>201</v>
      </c>
      <c r="B124" s="1">
        <v>45298</v>
      </c>
      <c r="C124" t="s">
        <v>129</v>
      </c>
      <c r="D124" t="s">
        <v>46</v>
      </c>
      <c r="E124" t="s">
        <v>34</v>
      </c>
      <c r="F124" t="s">
        <v>42</v>
      </c>
      <c r="G124">
        <v>4</v>
      </c>
      <c r="H124">
        <v>13000</v>
      </c>
      <c r="I124">
        <v>12000</v>
      </c>
      <c r="J124">
        <v>1000</v>
      </c>
      <c r="K124">
        <f>IFERROR(Table1[[#This Row],[Quantity]]*Table1[[#This Row],[Transactional Unit Price]],"NA")</f>
        <v>48000</v>
      </c>
      <c r="L124">
        <f>IFERROR(Table1[[#This Row],[Standard Unit Price]]*Table1[[#This Row],[Quantity]],"NA")</f>
        <v>52000</v>
      </c>
      <c r="M124" t="s">
        <v>369</v>
      </c>
      <c r="N12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24" t="s">
        <v>46</v>
      </c>
      <c r="T124">
        <f>VLOOKUP(Table3[[#This Row],[Product Name]],Table4[#All],2,FALSE)</f>
        <v>13000</v>
      </c>
      <c r="U124">
        <f>IFERROR(Table3[[#This Row],[Standard Price ]]-Table1[[#This Row],[Price Difference]],"NA")</f>
        <v>12000</v>
      </c>
    </row>
    <row r="125" spans="1:21" x14ac:dyDescent="0.25">
      <c r="A125" t="s">
        <v>202</v>
      </c>
      <c r="B125" s="1">
        <v>45318</v>
      </c>
      <c r="C125" t="s">
        <v>150</v>
      </c>
      <c r="D125" t="s">
        <v>26</v>
      </c>
      <c r="E125" t="s">
        <v>19</v>
      </c>
      <c r="F125" t="s">
        <v>42</v>
      </c>
      <c r="G125">
        <v>1</v>
      </c>
      <c r="H125">
        <v>12000</v>
      </c>
      <c r="I125">
        <v>8500</v>
      </c>
      <c r="J125">
        <v>3500</v>
      </c>
      <c r="K125">
        <f>IFERROR(Table1[[#This Row],[Quantity]]*Table1[[#This Row],[Transactional Unit Price]],"NA")</f>
        <v>8500</v>
      </c>
      <c r="L125">
        <f>IFERROR(Table1[[#This Row],[Standard Unit Price]]*Table1[[#This Row],[Quantity]],"NA")</f>
        <v>12000</v>
      </c>
      <c r="M125" t="s">
        <v>21</v>
      </c>
      <c r="N12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25" t="s">
        <v>26</v>
      </c>
      <c r="T125">
        <f>VLOOKUP(Table3[[#This Row],[Product Name]],Table4[#All],2,FALSE)</f>
        <v>12000</v>
      </c>
      <c r="U125">
        <f>IFERROR(Table3[[#This Row],[Standard Price ]]-Table1[[#This Row],[Price Difference]],"NA")</f>
        <v>8500</v>
      </c>
    </row>
    <row r="126" spans="1:21" x14ac:dyDescent="0.25">
      <c r="A126" t="s">
        <v>203</v>
      </c>
      <c r="B126" s="1">
        <v>45329</v>
      </c>
      <c r="C126" t="s">
        <v>114</v>
      </c>
      <c r="D126" t="s">
        <v>46</v>
      </c>
      <c r="E126" t="s">
        <v>11</v>
      </c>
      <c r="F126" t="s">
        <v>12</v>
      </c>
      <c r="G126">
        <v>1</v>
      </c>
      <c r="H126">
        <v>13000</v>
      </c>
      <c r="I126">
        <v>9200</v>
      </c>
      <c r="J126">
        <v>3800</v>
      </c>
      <c r="K126">
        <f>IFERROR(Table1[[#This Row],[Quantity]]*Table1[[#This Row],[Transactional Unit Price]],"NA")</f>
        <v>9200</v>
      </c>
      <c r="L126">
        <f>IFERROR(Table1[[#This Row],[Standard Unit Price]]*Table1[[#This Row],[Quantity]],"NA")</f>
        <v>13000</v>
      </c>
      <c r="M126" t="s">
        <v>13</v>
      </c>
      <c r="N12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26" t="s">
        <v>46</v>
      </c>
      <c r="T126">
        <f>VLOOKUP(Table3[[#This Row],[Product Name]],Table4[#All],2,FALSE)</f>
        <v>13000</v>
      </c>
      <c r="U126">
        <f>IFERROR(Table3[[#This Row],[Standard Price ]]-Table1[[#This Row],[Price Difference]],"NA")</f>
        <v>9200</v>
      </c>
    </row>
    <row r="127" spans="1:21" x14ac:dyDescent="0.25">
      <c r="A127" t="s">
        <v>204</v>
      </c>
      <c r="B127" s="1">
        <v>45580</v>
      </c>
      <c r="C127" t="s">
        <v>69</v>
      </c>
      <c r="D127" t="s">
        <v>26</v>
      </c>
      <c r="E127" t="s">
        <v>11</v>
      </c>
      <c r="F127" t="s">
        <v>20</v>
      </c>
      <c r="G127">
        <v>1</v>
      </c>
      <c r="H127">
        <v>12000</v>
      </c>
      <c r="I127" t="s">
        <v>337</v>
      </c>
      <c r="J127" t="s">
        <v>337</v>
      </c>
      <c r="K127" t="str">
        <f>IFERROR(Table1[[#This Row],[Quantity]]*Table1[[#This Row],[Transactional Unit Price]],"NA")</f>
        <v>NA</v>
      </c>
      <c r="L127">
        <f>IFERROR(Table1[[#This Row],[Standard Unit Price]]*Table1[[#This Row],[Quantity]],"NA")</f>
        <v>12000</v>
      </c>
      <c r="M127" t="s">
        <v>21</v>
      </c>
      <c r="N12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27" t="s">
        <v>26</v>
      </c>
      <c r="T127">
        <f>VLOOKUP(Table3[[#This Row],[Product Name]],Table4[#All],2,FALSE)</f>
        <v>12000</v>
      </c>
      <c r="U127" t="str">
        <f>IFERROR(Table3[[#This Row],[Standard Price ]]-Table1[[#This Row],[Price Difference]],"NA")</f>
        <v>NA</v>
      </c>
    </row>
    <row r="128" spans="1:21" x14ac:dyDescent="0.25">
      <c r="A128" t="s">
        <v>205</v>
      </c>
      <c r="B128" s="1">
        <v>45597</v>
      </c>
      <c r="C128" t="s">
        <v>51</v>
      </c>
      <c r="D128" t="s">
        <v>26</v>
      </c>
      <c r="E128" t="s">
        <v>49</v>
      </c>
      <c r="F128" t="s">
        <v>20</v>
      </c>
      <c r="G128">
        <v>5</v>
      </c>
      <c r="H128">
        <v>12000</v>
      </c>
      <c r="I128">
        <v>12000</v>
      </c>
      <c r="J128">
        <v>0</v>
      </c>
      <c r="K128">
        <f>IFERROR(Table1[[#This Row],[Quantity]]*Table1[[#This Row],[Transactional Unit Price]],"NA")</f>
        <v>60000</v>
      </c>
      <c r="L128">
        <f>IFERROR(Table1[[#This Row],[Standard Unit Price]]*Table1[[#This Row],[Quantity]],"NA")</f>
        <v>60000</v>
      </c>
      <c r="M128" t="s">
        <v>21</v>
      </c>
      <c r="N12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28" t="s">
        <v>26</v>
      </c>
      <c r="T128">
        <f>VLOOKUP(Table3[[#This Row],[Product Name]],Table4[#All],2,FALSE)</f>
        <v>12000</v>
      </c>
      <c r="U128">
        <f>IFERROR(Table3[[#This Row],[Standard Price ]]-Table1[[#This Row],[Price Difference]],"NA")</f>
        <v>12000</v>
      </c>
    </row>
    <row r="129" spans="1:21" x14ac:dyDescent="0.25">
      <c r="A129" t="s">
        <v>206</v>
      </c>
      <c r="B129" s="1">
        <v>45518</v>
      </c>
      <c r="C129" t="s">
        <v>127</v>
      </c>
      <c r="D129" t="s">
        <v>26</v>
      </c>
      <c r="E129" t="s">
        <v>19</v>
      </c>
      <c r="F129" t="s">
        <v>16</v>
      </c>
      <c r="G129">
        <v>4</v>
      </c>
      <c r="H129">
        <v>12000</v>
      </c>
      <c r="I129">
        <v>10000</v>
      </c>
      <c r="J129">
        <v>2000</v>
      </c>
      <c r="K129">
        <f>IFERROR(Table1[[#This Row],[Quantity]]*Table1[[#This Row],[Transactional Unit Price]],"NA")</f>
        <v>40000</v>
      </c>
      <c r="L129">
        <f>IFERROR(Table1[[#This Row],[Standard Unit Price]]*Table1[[#This Row],[Quantity]],"NA")</f>
        <v>48000</v>
      </c>
      <c r="M129" t="s">
        <v>13</v>
      </c>
      <c r="N12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29" t="s">
        <v>26</v>
      </c>
      <c r="T129">
        <f>VLOOKUP(Table3[[#This Row],[Product Name]],Table4[#All],2,FALSE)</f>
        <v>12000</v>
      </c>
      <c r="U129">
        <f>IFERROR(Table3[[#This Row],[Standard Price ]]-Table1[[#This Row],[Price Difference]],"NA")</f>
        <v>10000</v>
      </c>
    </row>
    <row r="130" spans="1:21" x14ac:dyDescent="0.25">
      <c r="A130" t="s">
        <v>207</v>
      </c>
      <c r="B130" s="1">
        <v>45322</v>
      </c>
      <c r="C130" t="s">
        <v>97</v>
      </c>
      <c r="D130" t="s">
        <v>46</v>
      </c>
      <c r="E130" t="s">
        <v>11</v>
      </c>
      <c r="F130" t="s">
        <v>27</v>
      </c>
      <c r="G130">
        <v>2</v>
      </c>
      <c r="H130">
        <v>13000</v>
      </c>
      <c r="I130">
        <v>9200</v>
      </c>
      <c r="J130">
        <v>3800</v>
      </c>
      <c r="K130">
        <f>IFERROR(Table1[[#This Row],[Quantity]]*Table1[[#This Row],[Transactional Unit Price]],"NA")</f>
        <v>18400</v>
      </c>
      <c r="L130">
        <f>IFERROR(Table1[[#This Row],[Standard Unit Price]]*Table1[[#This Row],[Quantity]],"NA")</f>
        <v>26000</v>
      </c>
      <c r="M130" t="s">
        <v>369</v>
      </c>
      <c r="N13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0" t="s">
        <v>46</v>
      </c>
      <c r="T130">
        <f>VLOOKUP(Table3[[#This Row],[Product Name]],Table4[#All],2,FALSE)</f>
        <v>13000</v>
      </c>
      <c r="U130">
        <f>IFERROR(Table3[[#This Row],[Standard Price ]]-Table1[[#This Row],[Price Difference]],"NA")</f>
        <v>9200</v>
      </c>
    </row>
    <row r="131" spans="1:21" x14ac:dyDescent="0.25">
      <c r="A131" t="s">
        <v>208</v>
      </c>
      <c r="B131" s="1">
        <v>45333</v>
      </c>
      <c r="C131" t="s">
        <v>182</v>
      </c>
      <c r="D131" t="s">
        <v>30</v>
      </c>
      <c r="E131" t="s">
        <v>19</v>
      </c>
      <c r="F131" t="s">
        <v>20</v>
      </c>
      <c r="G131">
        <v>5</v>
      </c>
      <c r="H131">
        <v>9200</v>
      </c>
      <c r="I131">
        <v>8500</v>
      </c>
      <c r="J131">
        <v>700</v>
      </c>
      <c r="K131">
        <f>IFERROR(Table1[[#This Row],[Quantity]]*Table1[[#This Row],[Transactional Unit Price]],"NA")</f>
        <v>42500</v>
      </c>
      <c r="L131">
        <f>IFERROR(Table1[[#This Row],[Standard Unit Price]]*Table1[[#This Row],[Quantity]],"NA")</f>
        <v>46000</v>
      </c>
      <c r="M131" t="s">
        <v>13</v>
      </c>
      <c r="N13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1" t="s">
        <v>30</v>
      </c>
      <c r="T131">
        <f>VLOOKUP(Table3[[#This Row],[Product Name]],Table4[#All],2,FALSE)</f>
        <v>9200</v>
      </c>
      <c r="U131">
        <f>IFERROR(Table3[[#This Row],[Standard Price ]]-Table1[[#This Row],[Price Difference]],"NA")</f>
        <v>8500</v>
      </c>
    </row>
    <row r="132" spans="1:21" x14ac:dyDescent="0.25">
      <c r="A132" t="s">
        <v>209</v>
      </c>
      <c r="B132" s="1">
        <v>45501</v>
      </c>
      <c r="C132" t="s">
        <v>48</v>
      </c>
      <c r="D132" t="s">
        <v>37</v>
      </c>
      <c r="E132" t="s">
        <v>11</v>
      </c>
      <c r="F132" t="s">
        <v>16</v>
      </c>
      <c r="G132">
        <v>4</v>
      </c>
      <c r="H132">
        <v>15000</v>
      </c>
      <c r="I132">
        <v>10000</v>
      </c>
      <c r="J132">
        <v>5000</v>
      </c>
      <c r="K132">
        <f>IFERROR(Table1[[#This Row],[Quantity]]*Table1[[#This Row],[Transactional Unit Price]],"NA")</f>
        <v>40000</v>
      </c>
      <c r="L132">
        <f>IFERROR(Table1[[#This Row],[Standard Unit Price]]*Table1[[#This Row],[Quantity]],"NA")</f>
        <v>60000</v>
      </c>
      <c r="M132" t="s">
        <v>21</v>
      </c>
      <c r="N13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2" t="s">
        <v>37</v>
      </c>
      <c r="T132">
        <f>VLOOKUP(Table3[[#This Row],[Product Name]],Table4[#All],2,FALSE)</f>
        <v>15000</v>
      </c>
      <c r="U132">
        <f>IFERROR(Table3[[#This Row],[Standard Price ]]-Table1[[#This Row],[Price Difference]],"NA")</f>
        <v>10000</v>
      </c>
    </row>
    <row r="133" spans="1:21" x14ac:dyDescent="0.25">
      <c r="A133" t="s">
        <v>210</v>
      </c>
      <c r="B133" s="1">
        <v>45439</v>
      </c>
      <c r="C133" t="s">
        <v>211</v>
      </c>
      <c r="D133" t="s">
        <v>10</v>
      </c>
      <c r="E133" t="s">
        <v>34</v>
      </c>
      <c r="F133" t="s">
        <v>12</v>
      </c>
      <c r="G133">
        <v>4</v>
      </c>
      <c r="H133">
        <v>10000</v>
      </c>
      <c r="I133">
        <v>8500</v>
      </c>
      <c r="J133">
        <v>1500</v>
      </c>
      <c r="K133">
        <f>IFERROR(Table1[[#This Row],[Quantity]]*Table1[[#This Row],[Transactional Unit Price]],"NA")</f>
        <v>34000</v>
      </c>
      <c r="L133">
        <f>IFERROR(Table1[[#This Row],[Standard Unit Price]]*Table1[[#This Row],[Quantity]],"NA")</f>
        <v>40000</v>
      </c>
      <c r="M133" t="s">
        <v>13</v>
      </c>
      <c r="N13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3" t="s">
        <v>10</v>
      </c>
      <c r="T133">
        <f>VLOOKUP(Table3[[#This Row],[Product Name]],Table4[#All],2,FALSE)</f>
        <v>10000</v>
      </c>
      <c r="U133">
        <f>IFERROR(Table3[[#This Row],[Standard Price ]]-Table1[[#This Row],[Price Difference]],"NA")</f>
        <v>8500</v>
      </c>
    </row>
    <row r="134" spans="1:21" x14ac:dyDescent="0.25">
      <c r="A134" t="s">
        <v>212</v>
      </c>
      <c r="B134" s="1">
        <v>45427</v>
      </c>
      <c r="C134" t="s">
        <v>104</v>
      </c>
      <c r="D134" t="s">
        <v>26</v>
      </c>
      <c r="E134" t="s">
        <v>19</v>
      </c>
      <c r="F134" t="s">
        <v>12</v>
      </c>
      <c r="G134">
        <v>5</v>
      </c>
      <c r="H134">
        <v>12000</v>
      </c>
      <c r="I134">
        <v>9200</v>
      </c>
      <c r="J134">
        <v>2800</v>
      </c>
      <c r="K134">
        <f>IFERROR(Table1[[#This Row],[Quantity]]*Table1[[#This Row],[Transactional Unit Price]],"NA")</f>
        <v>46000</v>
      </c>
      <c r="L134">
        <f>IFERROR(Table1[[#This Row],[Standard Unit Price]]*Table1[[#This Row],[Quantity]],"NA")</f>
        <v>60000</v>
      </c>
      <c r="M134" t="s">
        <v>21</v>
      </c>
      <c r="N13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4" t="s">
        <v>26</v>
      </c>
      <c r="T134">
        <f>VLOOKUP(Table3[[#This Row],[Product Name]],Table4[#All],2,FALSE)</f>
        <v>12000</v>
      </c>
      <c r="U134">
        <f>IFERROR(Table3[[#This Row],[Standard Price ]]-Table1[[#This Row],[Price Difference]],"NA")</f>
        <v>9200</v>
      </c>
    </row>
    <row r="135" spans="1:21" x14ac:dyDescent="0.25">
      <c r="A135" t="s">
        <v>213</v>
      </c>
      <c r="B135" s="1">
        <v>45570</v>
      </c>
      <c r="C135" t="s">
        <v>71</v>
      </c>
      <c r="D135" t="s">
        <v>30</v>
      </c>
      <c r="E135" t="s">
        <v>11</v>
      </c>
      <c r="F135" t="s">
        <v>20</v>
      </c>
      <c r="G135">
        <v>3</v>
      </c>
      <c r="H135">
        <v>9200</v>
      </c>
      <c r="I135">
        <v>9200</v>
      </c>
      <c r="J135">
        <v>0</v>
      </c>
      <c r="K135">
        <f>IFERROR(Table1[[#This Row],[Quantity]]*Table1[[#This Row],[Transactional Unit Price]],"NA")</f>
        <v>27600</v>
      </c>
      <c r="L135">
        <f>IFERROR(Table1[[#This Row],[Standard Unit Price]]*Table1[[#This Row],[Quantity]],"NA")</f>
        <v>27600</v>
      </c>
      <c r="M135" t="s">
        <v>21</v>
      </c>
      <c r="N13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35" t="s">
        <v>30</v>
      </c>
      <c r="T135">
        <f>VLOOKUP(Table3[[#This Row],[Product Name]],Table4[#All],2,FALSE)</f>
        <v>9200</v>
      </c>
      <c r="U135">
        <f>IFERROR(Table3[[#This Row],[Standard Price ]]-Table1[[#This Row],[Price Difference]],"NA")</f>
        <v>9200</v>
      </c>
    </row>
    <row r="136" spans="1:21" x14ac:dyDescent="0.25">
      <c r="A136" t="s">
        <v>214</v>
      </c>
      <c r="B136" s="1">
        <v>45376</v>
      </c>
      <c r="C136" t="s">
        <v>23</v>
      </c>
      <c r="D136" t="s">
        <v>26</v>
      </c>
      <c r="E136" t="s">
        <v>34</v>
      </c>
      <c r="F136" t="s">
        <v>16</v>
      </c>
      <c r="G136" t="s">
        <v>337</v>
      </c>
      <c r="H136">
        <v>12000</v>
      </c>
      <c r="I136" t="s">
        <v>337</v>
      </c>
      <c r="J136" t="s">
        <v>337</v>
      </c>
      <c r="K136" t="str">
        <f>IFERROR(Table1[[#This Row],[Quantity]]*Table1[[#This Row],[Transactional Unit Price]],"NA")</f>
        <v>NA</v>
      </c>
      <c r="L136" t="str">
        <f>IFERROR(Table1[[#This Row],[Standard Unit Price]]*Table1[[#This Row],[Quantity]],"NA")</f>
        <v>NA</v>
      </c>
      <c r="M136" t="s">
        <v>369</v>
      </c>
      <c r="N13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36" t="s">
        <v>26</v>
      </c>
      <c r="T136">
        <f>VLOOKUP(Table3[[#This Row],[Product Name]],Table4[#All],2,FALSE)</f>
        <v>12000</v>
      </c>
      <c r="U136" t="str">
        <f>IFERROR(Table3[[#This Row],[Standard Price ]]-Table1[[#This Row],[Price Difference]],"NA")</f>
        <v>NA</v>
      </c>
    </row>
    <row r="137" spans="1:21" x14ac:dyDescent="0.25">
      <c r="A137" t="s">
        <v>215</v>
      </c>
      <c r="B137" s="1">
        <v>45355</v>
      </c>
      <c r="C137" t="s">
        <v>82</v>
      </c>
      <c r="D137" t="s">
        <v>37</v>
      </c>
      <c r="E137" t="s">
        <v>11</v>
      </c>
      <c r="F137" t="s">
        <v>31</v>
      </c>
      <c r="G137" t="s">
        <v>337</v>
      </c>
      <c r="H137">
        <v>15000</v>
      </c>
      <c r="I137">
        <v>12000</v>
      </c>
      <c r="J137">
        <v>3000</v>
      </c>
      <c r="K137" t="str">
        <f>IFERROR(Table1[[#This Row],[Quantity]]*Table1[[#This Row],[Transactional Unit Price]],"NA")</f>
        <v>NA</v>
      </c>
      <c r="L137" t="str">
        <f>IFERROR(Table1[[#This Row],[Standard Unit Price]]*Table1[[#This Row],[Quantity]],"NA")</f>
        <v>NA</v>
      </c>
      <c r="M137" t="s">
        <v>369</v>
      </c>
      <c r="N13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7" t="s">
        <v>37</v>
      </c>
      <c r="T137">
        <f>VLOOKUP(Table3[[#This Row],[Product Name]],Table4[#All],2,FALSE)</f>
        <v>15000</v>
      </c>
      <c r="U137">
        <f>IFERROR(Table3[[#This Row],[Standard Price ]]-Table1[[#This Row],[Price Difference]],"NA")</f>
        <v>12000</v>
      </c>
    </row>
    <row r="138" spans="1:21" x14ac:dyDescent="0.25">
      <c r="A138" t="s">
        <v>216</v>
      </c>
      <c r="B138" s="1">
        <v>45568</v>
      </c>
      <c r="C138" t="s">
        <v>99</v>
      </c>
      <c r="D138" t="s">
        <v>37</v>
      </c>
      <c r="E138" t="s">
        <v>57</v>
      </c>
      <c r="F138" t="s">
        <v>27</v>
      </c>
      <c r="G138">
        <v>5</v>
      </c>
      <c r="H138">
        <v>15000</v>
      </c>
      <c r="I138">
        <v>8500</v>
      </c>
      <c r="J138">
        <v>6500</v>
      </c>
      <c r="K138">
        <f>IFERROR(Table1[[#This Row],[Quantity]]*Table1[[#This Row],[Transactional Unit Price]],"NA")</f>
        <v>42500</v>
      </c>
      <c r="L138">
        <f>IFERROR(Table1[[#This Row],[Standard Unit Price]]*Table1[[#This Row],[Quantity]],"NA")</f>
        <v>75000</v>
      </c>
      <c r="M138" t="s">
        <v>21</v>
      </c>
      <c r="N13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8" t="s">
        <v>37</v>
      </c>
      <c r="T138">
        <f>VLOOKUP(Table3[[#This Row],[Product Name]],Table4[#All],2,FALSE)</f>
        <v>15000</v>
      </c>
      <c r="U138">
        <f>IFERROR(Table3[[#This Row],[Standard Price ]]-Table1[[#This Row],[Price Difference]],"NA")</f>
        <v>8500</v>
      </c>
    </row>
    <row r="139" spans="1:21" x14ac:dyDescent="0.25">
      <c r="A139" t="s">
        <v>217</v>
      </c>
      <c r="B139" s="1">
        <v>45457</v>
      </c>
      <c r="C139" t="s">
        <v>218</v>
      </c>
      <c r="D139" t="s">
        <v>46</v>
      </c>
      <c r="E139" t="s">
        <v>34</v>
      </c>
      <c r="F139" t="s">
        <v>27</v>
      </c>
      <c r="G139">
        <v>1</v>
      </c>
      <c r="H139">
        <v>13000</v>
      </c>
      <c r="I139">
        <v>9200</v>
      </c>
      <c r="J139">
        <v>3800</v>
      </c>
      <c r="K139">
        <f>IFERROR(Table1[[#This Row],[Quantity]]*Table1[[#This Row],[Transactional Unit Price]],"NA")</f>
        <v>9200</v>
      </c>
      <c r="L139">
        <f>IFERROR(Table1[[#This Row],[Standard Unit Price]]*Table1[[#This Row],[Quantity]],"NA")</f>
        <v>13000</v>
      </c>
      <c r="M139" t="s">
        <v>13</v>
      </c>
      <c r="N13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39" t="s">
        <v>46</v>
      </c>
      <c r="T139">
        <f>VLOOKUP(Table3[[#This Row],[Product Name]],Table4[#All],2,FALSE)</f>
        <v>13000</v>
      </c>
      <c r="U139">
        <f>IFERROR(Table3[[#This Row],[Standard Price ]]-Table1[[#This Row],[Price Difference]],"NA")</f>
        <v>9200</v>
      </c>
    </row>
    <row r="140" spans="1:21" x14ac:dyDescent="0.25">
      <c r="A140" t="s">
        <v>219</v>
      </c>
      <c r="B140" s="1">
        <v>45302</v>
      </c>
      <c r="C140" t="s">
        <v>94</v>
      </c>
      <c r="D140" t="s">
        <v>26</v>
      </c>
      <c r="E140" t="s">
        <v>11</v>
      </c>
      <c r="F140" t="s">
        <v>31</v>
      </c>
      <c r="G140">
        <v>5</v>
      </c>
      <c r="H140">
        <v>12000</v>
      </c>
      <c r="I140">
        <v>8500</v>
      </c>
      <c r="J140">
        <v>3500</v>
      </c>
      <c r="K140">
        <f>IFERROR(Table1[[#This Row],[Quantity]]*Table1[[#This Row],[Transactional Unit Price]],"NA")</f>
        <v>42500</v>
      </c>
      <c r="L140">
        <f>IFERROR(Table1[[#This Row],[Standard Unit Price]]*Table1[[#This Row],[Quantity]],"NA")</f>
        <v>60000</v>
      </c>
      <c r="M140" t="s">
        <v>13</v>
      </c>
      <c r="N14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40" t="s">
        <v>26</v>
      </c>
      <c r="T140">
        <f>VLOOKUP(Table3[[#This Row],[Product Name]],Table4[#All],2,FALSE)</f>
        <v>12000</v>
      </c>
      <c r="U140">
        <f>IFERROR(Table3[[#This Row],[Standard Price ]]-Table1[[#This Row],[Price Difference]],"NA")</f>
        <v>8500</v>
      </c>
    </row>
    <row r="141" spans="1:21" x14ac:dyDescent="0.25">
      <c r="A141" t="s">
        <v>220</v>
      </c>
      <c r="B141" s="1">
        <v>45557</v>
      </c>
      <c r="C141" t="s">
        <v>44</v>
      </c>
      <c r="D141" t="s">
        <v>10</v>
      </c>
      <c r="E141" t="s">
        <v>57</v>
      </c>
      <c r="F141" t="s">
        <v>31</v>
      </c>
      <c r="G141">
        <v>2</v>
      </c>
      <c r="H141">
        <v>10000</v>
      </c>
      <c r="I141" t="s">
        <v>337</v>
      </c>
      <c r="J141" t="s">
        <v>337</v>
      </c>
      <c r="K141" t="str">
        <f>IFERROR(Table1[[#This Row],[Quantity]]*Table1[[#This Row],[Transactional Unit Price]],"NA")</f>
        <v>NA</v>
      </c>
      <c r="L141">
        <f>IFERROR(Table1[[#This Row],[Standard Unit Price]]*Table1[[#This Row],[Quantity]],"NA")</f>
        <v>20000</v>
      </c>
      <c r="M141" t="s">
        <v>21</v>
      </c>
      <c r="N14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41" t="s">
        <v>10</v>
      </c>
      <c r="T141">
        <f>VLOOKUP(Table3[[#This Row],[Product Name]],Table4[#All],2,FALSE)</f>
        <v>10000</v>
      </c>
      <c r="U141" t="str">
        <f>IFERROR(Table3[[#This Row],[Standard Price ]]-Table1[[#This Row],[Price Difference]],"NA")</f>
        <v>NA</v>
      </c>
    </row>
    <row r="142" spans="1:21" x14ac:dyDescent="0.25">
      <c r="A142" t="s">
        <v>221</v>
      </c>
      <c r="B142" s="1">
        <v>45543</v>
      </c>
      <c r="C142" t="s">
        <v>97</v>
      </c>
      <c r="D142" t="s">
        <v>10</v>
      </c>
      <c r="E142" t="s">
        <v>57</v>
      </c>
      <c r="F142" t="s">
        <v>31</v>
      </c>
      <c r="G142">
        <v>4</v>
      </c>
      <c r="H142">
        <v>10000</v>
      </c>
      <c r="I142">
        <v>10000</v>
      </c>
      <c r="J142">
        <v>0</v>
      </c>
      <c r="K142">
        <f>IFERROR(Table1[[#This Row],[Quantity]]*Table1[[#This Row],[Transactional Unit Price]],"NA")</f>
        <v>40000</v>
      </c>
      <c r="L142">
        <f>IFERROR(Table1[[#This Row],[Standard Unit Price]]*Table1[[#This Row],[Quantity]],"NA")</f>
        <v>40000</v>
      </c>
      <c r="M142" t="s">
        <v>369</v>
      </c>
      <c r="N14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42" t="s">
        <v>10</v>
      </c>
      <c r="T142">
        <f>VLOOKUP(Table3[[#This Row],[Product Name]],Table4[#All],2,FALSE)</f>
        <v>10000</v>
      </c>
      <c r="U142">
        <f>IFERROR(Table3[[#This Row],[Standard Price ]]-Table1[[#This Row],[Price Difference]],"NA")</f>
        <v>10000</v>
      </c>
    </row>
    <row r="143" spans="1:21" x14ac:dyDescent="0.25">
      <c r="A143" t="s">
        <v>222</v>
      </c>
      <c r="B143" s="1">
        <v>45345</v>
      </c>
      <c r="C143" t="s">
        <v>97</v>
      </c>
      <c r="D143" t="s">
        <v>26</v>
      </c>
      <c r="E143" t="s">
        <v>19</v>
      </c>
      <c r="F143" t="s">
        <v>31</v>
      </c>
      <c r="G143">
        <v>4</v>
      </c>
      <c r="H143">
        <v>12000</v>
      </c>
      <c r="I143">
        <v>12000</v>
      </c>
      <c r="J143">
        <v>0</v>
      </c>
      <c r="K143">
        <f>IFERROR(Table1[[#This Row],[Quantity]]*Table1[[#This Row],[Transactional Unit Price]],"NA")</f>
        <v>48000</v>
      </c>
      <c r="L143">
        <f>IFERROR(Table1[[#This Row],[Standard Unit Price]]*Table1[[#This Row],[Quantity]],"NA")</f>
        <v>48000</v>
      </c>
      <c r="M143" t="s">
        <v>369</v>
      </c>
      <c r="N14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43" t="s">
        <v>26</v>
      </c>
      <c r="T143">
        <f>VLOOKUP(Table3[[#This Row],[Product Name]],Table4[#All],2,FALSE)</f>
        <v>12000</v>
      </c>
      <c r="U143">
        <f>IFERROR(Table3[[#This Row],[Standard Price ]]-Table1[[#This Row],[Price Difference]],"NA")</f>
        <v>12000</v>
      </c>
    </row>
    <row r="144" spans="1:21" x14ac:dyDescent="0.25">
      <c r="A144" t="s">
        <v>223</v>
      </c>
      <c r="B144" s="1">
        <v>45497</v>
      </c>
      <c r="C144" t="s">
        <v>109</v>
      </c>
      <c r="D144" t="s">
        <v>26</v>
      </c>
      <c r="E144" t="s">
        <v>19</v>
      </c>
      <c r="F144" t="s">
        <v>16</v>
      </c>
      <c r="G144">
        <v>1</v>
      </c>
      <c r="H144">
        <v>12000</v>
      </c>
      <c r="I144">
        <v>12000</v>
      </c>
      <c r="J144">
        <v>0</v>
      </c>
      <c r="K144">
        <f>IFERROR(Table1[[#This Row],[Quantity]]*Table1[[#This Row],[Transactional Unit Price]],"NA")</f>
        <v>12000</v>
      </c>
      <c r="L144">
        <f>IFERROR(Table1[[#This Row],[Standard Unit Price]]*Table1[[#This Row],[Quantity]],"NA")</f>
        <v>12000</v>
      </c>
      <c r="M144" t="s">
        <v>21</v>
      </c>
      <c r="N14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44" t="s">
        <v>26</v>
      </c>
      <c r="T144">
        <f>VLOOKUP(Table3[[#This Row],[Product Name]],Table4[#All],2,FALSE)</f>
        <v>12000</v>
      </c>
      <c r="U144">
        <f>IFERROR(Table3[[#This Row],[Standard Price ]]-Table1[[#This Row],[Price Difference]],"NA")</f>
        <v>12000</v>
      </c>
    </row>
    <row r="145" spans="1:21" x14ac:dyDescent="0.25">
      <c r="A145" t="s">
        <v>224</v>
      </c>
      <c r="B145" s="1">
        <v>45421</v>
      </c>
      <c r="C145" t="s">
        <v>225</v>
      </c>
      <c r="D145" t="s">
        <v>26</v>
      </c>
      <c r="E145" t="s">
        <v>11</v>
      </c>
      <c r="F145" t="s">
        <v>42</v>
      </c>
      <c r="G145">
        <v>5</v>
      </c>
      <c r="H145">
        <v>12000</v>
      </c>
      <c r="I145">
        <v>8500</v>
      </c>
      <c r="J145">
        <v>3500</v>
      </c>
      <c r="K145">
        <f>IFERROR(Table1[[#This Row],[Quantity]]*Table1[[#This Row],[Transactional Unit Price]],"NA")</f>
        <v>42500</v>
      </c>
      <c r="L145">
        <f>IFERROR(Table1[[#This Row],[Standard Unit Price]]*Table1[[#This Row],[Quantity]],"NA")</f>
        <v>60000</v>
      </c>
      <c r="M145" t="s">
        <v>13</v>
      </c>
      <c r="N14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45" t="s">
        <v>26</v>
      </c>
      <c r="T145">
        <f>VLOOKUP(Table3[[#This Row],[Product Name]],Table4[#All],2,FALSE)</f>
        <v>12000</v>
      </c>
      <c r="U145">
        <f>IFERROR(Table3[[#This Row],[Standard Price ]]-Table1[[#This Row],[Price Difference]],"NA")</f>
        <v>8500</v>
      </c>
    </row>
    <row r="146" spans="1:21" x14ac:dyDescent="0.25">
      <c r="A146" t="s">
        <v>226</v>
      </c>
      <c r="B146" s="1">
        <v>45503</v>
      </c>
      <c r="C146" t="s">
        <v>44</v>
      </c>
      <c r="D146" t="s">
        <v>10</v>
      </c>
      <c r="E146" t="s">
        <v>19</v>
      </c>
      <c r="F146" t="s">
        <v>16</v>
      </c>
      <c r="G146">
        <v>3</v>
      </c>
      <c r="H146">
        <v>10000</v>
      </c>
      <c r="I146" t="s">
        <v>337</v>
      </c>
      <c r="J146" t="s">
        <v>337</v>
      </c>
      <c r="K146" t="str">
        <f>IFERROR(Table1[[#This Row],[Quantity]]*Table1[[#This Row],[Transactional Unit Price]],"NA")</f>
        <v>NA</v>
      </c>
      <c r="L146">
        <f>IFERROR(Table1[[#This Row],[Standard Unit Price]]*Table1[[#This Row],[Quantity]],"NA")</f>
        <v>30000</v>
      </c>
      <c r="M146" t="s">
        <v>21</v>
      </c>
      <c r="N14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46" t="s">
        <v>10</v>
      </c>
      <c r="T146">
        <f>VLOOKUP(Table3[[#This Row],[Product Name]],Table4[#All],2,FALSE)</f>
        <v>10000</v>
      </c>
      <c r="U146" t="str">
        <f>IFERROR(Table3[[#This Row],[Standard Price ]]-Table1[[#This Row],[Price Difference]],"NA")</f>
        <v>NA</v>
      </c>
    </row>
    <row r="147" spans="1:21" x14ac:dyDescent="0.25">
      <c r="A147" t="s">
        <v>227</v>
      </c>
      <c r="B147" s="1">
        <v>45518</v>
      </c>
      <c r="C147" t="s">
        <v>211</v>
      </c>
      <c r="D147" t="s">
        <v>26</v>
      </c>
      <c r="E147" t="s">
        <v>11</v>
      </c>
      <c r="F147" t="s">
        <v>20</v>
      </c>
      <c r="G147">
        <v>3</v>
      </c>
      <c r="H147">
        <v>12000</v>
      </c>
      <c r="I147" t="s">
        <v>337</v>
      </c>
      <c r="J147" t="s">
        <v>337</v>
      </c>
      <c r="K147" t="str">
        <f>IFERROR(Table1[[#This Row],[Quantity]]*Table1[[#This Row],[Transactional Unit Price]],"NA")</f>
        <v>NA</v>
      </c>
      <c r="L147">
        <f>IFERROR(Table1[[#This Row],[Standard Unit Price]]*Table1[[#This Row],[Quantity]],"NA")</f>
        <v>36000</v>
      </c>
      <c r="M147" t="s">
        <v>13</v>
      </c>
      <c r="N14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47" t="s">
        <v>26</v>
      </c>
      <c r="T147">
        <f>VLOOKUP(Table3[[#This Row],[Product Name]],Table4[#All],2,FALSE)</f>
        <v>12000</v>
      </c>
      <c r="U147" t="str">
        <f>IFERROR(Table3[[#This Row],[Standard Price ]]-Table1[[#This Row],[Price Difference]],"NA")</f>
        <v>NA</v>
      </c>
    </row>
    <row r="148" spans="1:21" x14ac:dyDescent="0.25">
      <c r="A148" t="s">
        <v>228</v>
      </c>
      <c r="B148" s="1">
        <v>45439</v>
      </c>
      <c r="C148" t="s">
        <v>114</v>
      </c>
      <c r="D148" t="s">
        <v>37</v>
      </c>
      <c r="E148" t="s">
        <v>11</v>
      </c>
      <c r="F148" t="s">
        <v>42</v>
      </c>
      <c r="G148">
        <v>1</v>
      </c>
      <c r="H148">
        <v>15000</v>
      </c>
      <c r="I148">
        <v>8500</v>
      </c>
      <c r="J148">
        <v>6500</v>
      </c>
      <c r="K148">
        <f>IFERROR(Table1[[#This Row],[Quantity]]*Table1[[#This Row],[Transactional Unit Price]],"NA")</f>
        <v>8500</v>
      </c>
      <c r="L148">
        <f>IFERROR(Table1[[#This Row],[Standard Unit Price]]*Table1[[#This Row],[Quantity]],"NA")</f>
        <v>15000</v>
      </c>
      <c r="M148" t="s">
        <v>13</v>
      </c>
      <c r="N14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48" t="s">
        <v>37</v>
      </c>
      <c r="T148">
        <f>VLOOKUP(Table3[[#This Row],[Product Name]],Table4[#All],2,FALSE)</f>
        <v>15000</v>
      </c>
      <c r="U148">
        <f>IFERROR(Table3[[#This Row],[Standard Price ]]-Table1[[#This Row],[Price Difference]],"NA")</f>
        <v>8500</v>
      </c>
    </row>
    <row r="149" spans="1:21" x14ac:dyDescent="0.25">
      <c r="A149" t="s">
        <v>229</v>
      </c>
      <c r="B149" s="1">
        <v>45414</v>
      </c>
      <c r="C149" t="s">
        <v>106</v>
      </c>
      <c r="D149" t="s">
        <v>10</v>
      </c>
      <c r="E149" t="s">
        <v>19</v>
      </c>
      <c r="F149" t="s">
        <v>31</v>
      </c>
      <c r="G149">
        <v>5</v>
      </c>
      <c r="H149">
        <v>10000</v>
      </c>
      <c r="I149">
        <v>8500</v>
      </c>
      <c r="J149">
        <v>1500</v>
      </c>
      <c r="K149">
        <f>IFERROR(Table1[[#This Row],[Quantity]]*Table1[[#This Row],[Transactional Unit Price]],"NA")</f>
        <v>42500</v>
      </c>
      <c r="L149">
        <f>IFERROR(Table1[[#This Row],[Standard Unit Price]]*Table1[[#This Row],[Quantity]],"NA")</f>
        <v>50000</v>
      </c>
      <c r="M149" t="s">
        <v>13</v>
      </c>
      <c r="N14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49" t="s">
        <v>10</v>
      </c>
      <c r="T149">
        <f>VLOOKUP(Table3[[#This Row],[Product Name]],Table4[#All],2,FALSE)</f>
        <v>10000</v>
      </c>
      <c r="U149">
        <f>IFERROR(Table3[[#This Row],[Standard Price ]]-Table1[[#This Row],[Price Difference]],"NA")</f>
        <v>8500</v>
      </c>
    </row>
    <row r="150" spans="1:21" x14ac:dyDescent="0.25">
      <c r="A150" t="s">
        <v>230</v>
      </c>
      <c r="B150" s="1">
        <v>45339</v>
      </c>
      <c r="C150" t="s">
        <v>150</v>
      </c>
      <c r="D150" t="s">
        <v>30</v>
      </c>
      <c r="E150" t="s">
        <v>19</v>
      </c>
      <c r="F150" t="s">
        <v>27</v>
      </c>
      <c r="G150">
        <v>4</v>
      </c>
      <c r="H150">
        <v>9200</v>
      </c>
      <c r="I150">
        <v>8500</v>
      </c>
      <c r="J150">
        <v>700</v>
      </c>
      <c r="K150">
        <f>IFERROR(Table1[[#This Row],[Quantity]]*Table1[[#This Row],[Transactional Unit Price]],"NA")</f>
        <v>34000</v>
      </c>
      <c r="L150">
        <f>IFERROR(Table1[[#This Row],[Standard Unit Price]]*Table1[[#This Row],[Quantity]],"NA")</f>
        <v>36800</v>
      </c>
      <c r="M150" t="s">
        <v>13</v>
      </c>
      <c r="N15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0" t="s">
        <v>30</v>
      </c>
      <c r="T150">
        <f>VLOOKUP(Table3[[#This Row],[Product Name]],Table4[#All],2,FALSE)</f>
        <v>9200</v>
      </c>
      <c r="U150">
        <f>IFERROR(Table3[[#This Row],[Standard Price ]]-Table1[[#This Row],[Price Difference]],"NA")</f>
        <v>8500</v>
      </c>
    </row>
    <row r="151" spans="1:21" x14ac:dyDescent="0.25">
      <c r="A151" t="s">
        <v>231</v>
      </c>
      <c r="B151" s="1">
        <v>45441</v>
      </c>
      <c r="C151" t="s">
        <v>172</v>
      </c>
      <c r="D151" t="s">
        <v>46</v>
      </c>
      <c r="E151" t="s">
        <v>11</v>
      </c>
      <c r="F151" t="s">
        <v>31</v>
      </c>
      <c r="G151">
        <v>4</v>
      </c>
      <c r="H151">
        <v>13000</v>
      </c>
      <c r="I151">
        <v>12000</v>
      </c>
      <c r="J151">
        <v>1000</v>
      </c>
      <c r="K151">
        <f>IFERROR(Table1[[#This Row],[Quantity]]*Table1[[#This Row],[Transactional Unit Price]],"NA")</f>
        <v>48000</v>
      </c>
      <c r="L151">
        <f>IFERROR(Table1[[#This Row],[Standard Unit Price]]*Table1[[#This Row],[Quantity]],"NA")</f>
        <v>52000</v>
      </c>
      <c r="M151" t="s">
        <v>21</v>
      </c>
      <c r="N15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1" t="s">
        <v>46</v>
      </c>
      <c r="T151">
        <f>VLOOKUP(Table3[[#This Row],[Product Name]],Table4[#All],2,FALSE)</f>
        <v>13000</v>
      </c>
      <c r="U151">
        <f>IFERROR(Table3[[#This Row],[Standard Price ]]-Table1[[#This Row],[Price Difference]],"NA")</f>
        <v>12000</v>
      </c>
    </row>
    <row r="152" spans="1:21" x14ac:dyDescent="0.25">
      <c r="A152" t="s">
        <v>232</v>
      </c>
      <c r="B152" s="1">
        <v>45525</v>
      </c>
      <c r="C152" t="s">
        <v>99</v>
      </c>
      <c r="D152" t="s">
        <v>46</v>
      </c>
      <c r="E152" t="s">
        <v>19</v>
      </c>
      <c r="F152" t="s">
        <v>42</v>
      </c>
      <c r="G152">
        <v>2</v>
      </c>
      <c r="H152">
        <v>13000</v>
      </c>
      <c r="I152" t="s">
        <v>337</v>
      </c>
      <c r="J152" t="s">
        <v>337</v>
      </c>
      <c r="K152" t="str">
        <f>IFERROR(Table1[[#This Row],[Quantity]]*Table1[[#This Row],[Transactional Unit Price]],"NA")</f>
        <v>NA</v>
      </c>
      <c r="L152">
        <f>IFERROR(Table1[[#This Row],[Standard Unit Price]]*Table1[[#This Row],[Quantity]],"NA")</f>
        <v>26000</v>
      </c>
      <c r="M152" t="s">
        <v>13</v>
      </c>
      <c r="N15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52" t="s">
        <v>46</v>
      </c>
      <c r="T152">
        <f>VLOOKUP(Table3[[#This Row],[Product Name]],Table4[#All],2,FALSE)</f>
        <v>13000</v>
      </c>
      <c r="U152" t="str">
        <f>IFERROR(Table3[[#This Row],[Standard Price ]]-Table1[[#This Row],[Price Difference]],"NA")</f>
        <v>NA</v>
      </c>
    </row>
    <row r="153" spans="1:21" x14ac:dyDescent="0.25">
      <c r="A153" t="s">
        <v>233</v>
      </c>
      <c r="B153" s="1">
        <v>45361</v>
      </c>
      <c r="C153" t="s">
        <v>25</v>
      </c>
      <c r="D153" t="s">
        <v>26</v>
      </c>
      <c r="E153" t="s">
        <v>11</v>
      </c>
      <c r="F153" t="s">
        <v>31</v>
      </c>
      <c r="G153">
        <v>4</v>
      </c>
      <c r="H153">
        <v>12000</v>
      </c>
      <c r="I153">
        <v>10000</v>
      </c>
      <c r="J153">
        <v>2000</v>
      </c>
      <c r="K153">
        <f>IFERROR(Table1[[#This Row],[Quantity]]*Table1[[#This Row],[Transactional Unit Price]],"NA")</f>
        <v>40000</v>
      </c>
      <c r="L153">
        <f>IFERROR(Table1[[#This Row],[Standard Unit Price]]*Table1[[#This Row],[Quantity]],"NA")</f>
        <v>48000</v>
      </c>
      <c r="M153" t="s">
        <v>13</v>
      </c>
      <c r="N15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3" t="s">
        <v>26</v>
      </c>
      <c r="T153">
        <f>VLOOKUP(Table3[[#This Row],[Product Name]],Table4[#All],2,FALSE)</f>
        <v>12000</v>
      </c>
      <c r="U153">
        <f>IFERROR(Table3[[#This Row],[Standard Price ]]-Table1[[#This Row],[Price Difference]],"NA")</f>
        <v>10000</v>
      </c>
    </row>
    <row r="154" spans="1:21" x14ac:dyDescent="0.25">
      <c r="A154" t="s">
        <v>234</v>
      </c>
      <c r="B154" s="1">
        <v>45293</v>
      </c>
      <c r="C154" t="s">
        <v>87</v>
      </c>
      <c r="D154" t="s">
        <v>26</v>
      </c>
      <c r="E154" t="s">
        <v>11</v>
      </c>
      <c r="F154" t="s">
        <v>31</v>
      </c>
      <c r="G154">
        <v>5</v>
      </c>
      <c r="H154">
        <v>12000</v>
      </c>
      <c r="I154" t="s">
        <v>337</v>
      </c>
      <c r="J154" t="s">
        <v>337</v>
      </c>
      <c r="K154" t="str">
        <f>IFERROR(Table1[[#This Row],[Quantity]]*Table1[[#This Row],[Transactional Unit Price]],"NA")</f>
        <v>NA</v>
      </c>
      <c r="L154">
        <f>IFERROR(Table1[[#This Row],[Standard Unit Price]]*Table1[[#This Row],[Quantity]],"NA")</f>
        <v>60000</v>
      </c>
      <c r="M154" t="s">
        <v>21</v>
      </c>
      <c r="N15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54" t="s">
        <v>26</v>
      </c>
      <c r="T154">
        <f>VLOOKUP(Table3[[#This Row],[Product Name]],Table4[#All],2,FALSE)</f>
        <v>12000</v>
      </c>
      <c r="U154" t="str">
        <f>IFERROR(Table3[[#This Row],[Standard Price ]]-Table1[[#This Row],[Price Difference]],"NA")</f>
        <v>NA</v>
      </c>
    </row>
    <row r="155" spans="1:21" x14ac:dyDescent="0.25">
      <c r="A155" t="s">
        <v>235</v>
      </c>
      <c r="B155" s="1">
        <v>45368</v>
      </c>
      <c r="C155" t="s">
        <v>65</v>
      </c>
      <c r="D155" t="s">
        <v>37</v>
      </c>
      <c r="E155" t="s">
        <v>49</v>
      </c>
      <c r="F155" t="s">
        <v>42</v>
      </c>
      <c r="G155">
        <v>3</v>
      </c>
      <c r="H155">
        <v>15000</v>
      </c>
      <c r="I155">
        <v>10000</v>
      </c>
      <c r="J155">
        <v>5000</v>
      </c>
      <c r="K155">
        <f>IFERROR(Table1[[#This Row],[Quantity]]*Table1[[#This Row],[Transactional Unit Price]],"NA")</f>
        <v>30000</v>
      </c>
      <c r="L155">
        <f>IFERROR(Table1[[#This Row],[Standard Unit Price]]*Table1[[#This Row],[Quantity]],"NA")</f>
        <v>45000</v>
      </c>
      <c r="M155" t="s">
        <v>13</v>
      </c>
      <c r="N15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5" t="s">
        <v>37</v>
      </c>
      <c r="T155">
        <f>VLOOKUP(Table3[[#This Row],[Product Name]],Table4[#All],2,FALSE)</f>
        <v>15000</v>
      </c>
      <c r="U155">
        <f>IFERROR(Table3[[#This Row],[Standard Price ]]-Table1[[#This Row],[Price Difference]],"NA")</f>
        <v>10000</v>
      </c>
    </row>
    <row r="156" spans="1:21" x14ac:dyDescent="0.25">
      <c r="A156" t="s">
        <v>236</v>
      </c>
      <c r="B156" s="1">
        <v>45570</v>
      </c>
      <c r="C156" t="s">
        <v>59</v>
      </c>
      <c r="D156" t="s">
        <v>37</v>
      </c>
      <c r="E156" t="s">
        <v>57</v>
      </c>
      <c r="F156" t="s">
        <v>31</v>
      </c>
      <c r="G156">
        <v>2</v>
      </c>
      <c r="H156">
        <v>15000</v>
      </c>
      <c r="I156">
        <v>9200</v>
      </c>
      <c r="J156">
        <v>5800</v>
      </c>
      <c r="K156">
        <f>IFERROR(Table1[[#This Row],[Quantity]]*Table1[[#This Row],[Transactional Unit Price]],"NA")</f>
        <v>18400</v>
      </c>
      <c r="L156">
        <f>IFERROR(Table1[[#This Row],[Standard Unit Price]]*Table1[[#This Row],[Quantity]],"NA")</f>
        <v>30000</v>
      </c>
      <c r="M156" t="s">
        <v>13</v>
      </c>
      <c r="N15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6" t="s">
        <v>37</v>
      </c>
      <c r="T156">
        <f>VLOOKUP(Table3[[#This Row],[Product Name]],Table4[#All],2,FALSE)</f>
        <v>15000</v>
      </c>
      <c r="U156">
        <f>IFERROR(Table3[[#This Row],[Standard Price ]]-Table1[[#This Row],[Price Difference]],"NA")</f>
        <v>9200</v>
      </c>
    </row>
    <row r="157" spans="1:21" x14ac:dyDescent="0.25">
      <c r="A157" t="s">
        <v>237</v>
      </c>
      <c r="B157" s="1">
        <v>45411</v>
      </c>
      <c r="C157" t="s">
        <v>80</v>
      </c>
      <c r="D157" t="s">
        <v>26</v>
      </c>
      <c r="E157" t="s">
        <v>19</v>
      </c>
      <c r="F157" t="s">
        <v>42</v>
      </c>
      <c r="G157">
        <v>1</v>
      </c>
      <c r="H157">
        <v>12000</v>
      </c>
      <c r="I157">
        <v>10000</v>
      </c>
      <c r="J157">
        <v>2000</v>
      </c>
      <c r="K157">
        <f>IFERROR(Table1[[#This Row],[Quantity]]*Table1[[#This Row],[Transactional Unit Price]],"NA")</f>
        <v>10000</v>
      </c>
      <c r="L157">
        <f>IFERROR(Table1[[#This Row],[Standard Unit Price]]*Table1[[#This Row],[Quantity]],"NA")</f>
        <v>12000</v>
      </c>
      <c r="M157" t="s">
        <v>21</v>
      </c>
      <c r="N15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7" t="s">
        <v>26</v>
      </c>
      <c r="T157">
        <f>VLOOKUP(Table3[[#This Row],[Product Name]],Table4[#All],2,FALSE)</f>
        <v>12000</v>
      </c>
      <c r="U157">
        <f>IFERROR(Table3[[#This Row],[Standard Price ]]-Table1[[#This Row],[Price Difference]],"NA")</f>
        <v>10000</v>
      </c>
    </row>
    <row r="158" spans="1:21" x14ac:dyDescent="0.25">
      <c r="A158" t="s">
        <v>238</v>
      </c>
      <c r="B158" s="1">
        <v>45487</v>
      </c>
      <c r="C158" t="s">
        <v>9</v>
      </c>
      <c r="D158" t="s">
        <v>37</v>
      </c>
      <c r="E158" t="s">
        <v>11</v>
      </c>
      <c r="F158" t="s">
        <v>12</v>
      </c>
      <c r="G158">
        <v>2</v>
      </c>
      <c r="H158">
        <v>15000</v>
      </c>
      <c r="I158">
        <v>12000</v>
      </c>
      <c r="J158">
        <v>3000</v>
      </c>
      <c r="K158">
        <f>IFERROR(Table1[[#This Row],[Quantity]]*Table1[[#This Row],[Transactional Unit Price]],"NA")</f>
        <v>24000</v>
      </c>
      <c r="L158">
        <f>IFERROR(Table1[[#This Row],[Standard Unit Price]]*Table1[[#This Row],[Quantity]],"NA")</f>
        <v>30000</v>
      </c>
      <c r="M158" t="s">
        <v>21</v>
      </c>
      <c r="N15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8" t="s">
        <v>37</v>
      </c>
      <c r="T158">
        <f>VLOOKUP(Table3[[#This Row],[Product Name]],Table4[#All],2,FALSE)</f>
        <v>15000</v>
      </c>
      <c r="U158">
        <f>IFERROR(Table3[[#This Row],[Standard Price ]]-Table1[[#This Row],[Price Difference]],"NA")</f>
        <v>12000</v>
      </c>
    </row>
    <row r="159" spans="1:21" x14ac:dyDescent="0.25">
      <c r="A159" t="s">
        <v>239</v>
      </c>
      <c r="B159" s="1">
        <v>45549</v>
      </c>
      <c r="C159" t="s">
        <v>51</v>
      </c>
      <c r="D159" t="s">
        <v>46</v>
      </c>
      <c r="E159" t="s">
        <v>34</v>
      </c>
      <c r="F159" t="s">
        <v>27</v>
      </c>
      <c r="G159">
        <v>4</v>
      </c>
      <c r="H159">
        <v>13000</v>
      </c>
      <c r="I159">
        <v>8500</v>
      </c>
      <c r="J159">
        <v>4500</v>
      </c>
      <c r="K159">
        <f>IFERROR(Table1[[#This Row],[Quantity]]*Table1[[#This Row],[Transactional Unit Price]],"NA")</f>
        <v>34000</v>
      </c>
      <c r="L159">
        <f>IFERROR(Table1[[#This Row],[Standard Unit Price]]*Table1[[#This Row],[Quantity]],"NA")</f>
        <v>52000</v>
      </c>
      <c r="M159" t="s">
        <v>13</v>
      </c>
      <c r="N15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59" t="s">
        <v>46</v>
      </c>
      <c r="T159">
        <f>VLOOKUP(Table3[[#This Row],[Product Name]],Table4[#All],2,FALSE)</f>
        <v>13000</v>
      </c>
      <c r="U159">
        <f>IFERROR(Table3[[#This Row],[Standard Price ]]-Table1[[#This Row],[Price Difference]],"NA")</f>
        <v>8500</v>
      </c>
    </row>
    <row r="160" spans="1:21" x14ac:dyDescent="0.25">
      <c r="A160" t="s">
        <v>240</v>
      </c>
      <c r="B160" s="1">
        <v>45525</v>
      </c>
      <c r="C160" t="s">
        <v>94</v>
      </c>
      <c r="D160" t="s">
        <v>10</v>
      </c>
      <c r="E160" t="s">
        <v>11</v>
      </c>
      <c r="F160" t="s">
        <v>20</v>
      </c>
      <c r="G160">
        <v>4</v>
      </c>
      <c r="H160">
        <v>10000</v>
      </c>
      <c r="I160">
        <v>9200</v>
      </c>
      <c r="J160">
        <v>800</v>
      </c>
      <c r="K160">
        <f>IFERROR(Table1[[#This Row],[Quantity]]*Table1[[#This Row],[Transactional Unit Price]],"NA")</f>
        <v>36800</v>
      </c>
      <c r="L160">
        <f>IFERROR(Table1[[#This Row],[Standard Unit Price]]*Table1[[#This Row],[Quantity]],"NA")</f>
        <v>40000</v>
      </c>
      <c r="M160" t="s">
        <v>21</v>
      </c>
      <c r="N16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60" t="s">
        <v>10</v>
      </c>
      <c r="T160">
        <f>VLOOKUP(Table3[[#This Row],[Product Name]],Table4[#All],2,FALSE)</f>
        <v>10000</v>
      </c>
      <c r="U160">
        <f>IFERROR(Table3[[#This Row],[Standard Price ]]-Table1[[#This Row],[Price Difference]],"NA")</f>
        <v>9200</v>
      </c>
    </row>
    <row r="161" spans="1:21" x14ac:dyDescent="0.25">
      <c r="A161" t="s">
        <v>241</v>
      </c>
      <c r="B161" s="1">
        <v>45427</v>
      </c>
      <c r="C161" t="s">
        <v>102</v>
      </c>
      <c r="D161" t="s">
        <v>26</v>
      </c>
      <c r="E161" t="s">
        <v>49</v>
      </c>
      <c r="F161" t="s">
        <v>12</v>
      </c>
      <c r="G161">
        <v>4</v>
      </c>
      <c r="H161">
        <v>12000</v>
      </c>
      <c r="I161">
        <v>8500</v>
      </c>
      <c r="J161">
        <v>3500</v>
      </c>
      <c r="K161">
        <f>IFERROR(Table1[[#This Row],[Quantity]]*Table1[[#This Row],[Transactional Unit Price]],"NA")</f>
        <v>34000</v>
      </c>
      <c r="L161">
        <f>IFERROR(Table1[[#This Row],[Standard Unit Price]]*Table1[[#This Row],[Quantity]],"NA")</f>
        <v>48000</v>
      </c>
      <c r="M161" t="s">
        <v>369</v>
      </c>
      <c r="N16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61" t="s">
        <v>26</v>
      </c>
      <c r="T161">
        <f>VLOOKUP(Table3[[#This Row],[Product Name]],Table4[#All],2,FALSE)</f>
        <v>12000</v>
      </c>
      <c r="U161">
        <f>IFERROR(Table3[[#This Row],[Standard Price ]]-Table1[[#This Row],[Price Difference]],"NA")</f>
        <v>8500</v>
      </c>
    </row>
    <row r="162" spans="1:21" x14ac:dyDescent="0.25">
      <c r="A162" t="s">
        <v>242</v>
      </c>
      <c r="B162" s="1">
        <v>45637</v>
      </c>
      <c r="C162" t="s">
        <v>15</v>
      </c>
      <c r="D162" t="s">
        <v>26</v>
      </c>
      <c r="E162" t="s">
        <v>49</v>
      </c>
      <c r="F162" t="s">
        <v>42</v>
      </c>
      <c r="G162">
        <v>3</v>
      </c>
      <c r="H162">
        <v>12000</v>
      </c>
      <c r="I162">
        <v>12000</v>
      </c>
      <c r="J162">
        <v>0</v>
      </c>
      <c r="K162">
        <f>IFERROR(Table1[[#This Row],[Quantity]]*Table1[[#This Row],[Transactional Unit Price]],"NA")</f>
        <v>36000</v>
      </c>
      <c r="L162">
        <f>IFERROR(Table1[[#This Row],[Standard Unit Price]]*Table1[[#This Row],[Quantity]],"NA")</f>
        <v>36000</v>
      </c>
      <c r="M162" t="s">
        <v>13</v>
      </c>
      <c r="N16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62" t="s">
        <v>26</v>
      </c>
      <c r="T162">
        <f>VLOOKUP(Table3[[#This Row],[Product Name]],Table4[#All],2,FALSE)</f>
        <v>12000</v>
      </c>
      <c r="U162">
        <f>IFERROR(Table3[[#This Row],[Standard Price ]]-Table1[[#This Row],[Price Difference]],"NA")</f>
        <v>12000</v>
      </c>
    </row>
    <row r="163" spans="1:21" x14ac:dyDescent="0.25">
      <c r="A163" t="s">
        <v>243</v>
      </c>
      <c r="B163" s="1">
        <v>45608</v>
      </c>
      <c r="C163" t="s">
        <v>99</v>
      </c>
      <c r="D163" t="s">
        <v>10</v>
      </c>
      <c r="E163" t="s">
        <v>19</v>
      </c>
      <c r="F163" t="s">
        <v>12</v>
      </c>
      <c r="G163" t="s">
        <v>337</v>
      </c>
      <c r="H163">
        <v>10000</v>
      </c>
      <c r="I163">
        <v>10000</v>
      </c>
      <c r="J163">
        <v>0</v>
      </c>
      <c r="K163" t="str">
        <f>IFERROR(Table1[[#This Row],[Quantity]]*Table1[[#This Row],[Transactional Unit Price]],"NA")</f>
        <v>NA</v>
      </c>
      <c r="L163" t="str">
        <f>IFERROR(Table1[[#This Row],[Standard Unit Price]]*Table1[[#This Row],[Quantity]],"NA")</f>
        <v>NA</v>
      </c>
      <c r="M163" t="s">
        <v>13</v>
      </c>
      <c r="N16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63" t="s">
        <v>10</v>
      </c>
      <c r="T163">
        <f>VLOOKUP(Table3[[#This Row],[Product Name]],Table4[#All],2,FALSE)</f>
        <v>10000</v>
      </c>
      <c r="U163">
        <f>IFERROR(Table3[[#This Row],[Standard Price ]]-Table1[[#This Row],[Price Difference]],"NA")</f>
        <v>10000</v>
      </c>
    </row>
    <row r="164" spans="1:21" x14ac:dyDescent="0.25">
      <c r="A164" t="s">
        <v>244</v>
      </c>
      <c r="B164" s="1">
        <v>45338</v>
      </c>
      <c r="C164" t="s">
        <v>41</v>
      </c>
      <c r="D164" t="s">
        <v>37</v>
      </c>
      <c r="E164" t="s">
        <v>11</v>
      </c>
      <c r="F164" t="s">
        <v>12</v>
      </c>
      <c r="G164" t="s">
        <v>337</v>
      </c>
      <c r="H164">
        <v>15000</v>
      </c>
      <c r="I164">
        <v>8500</v>
      </c>
      <c r="J164">
        <v>6500</v>
      </c>
      <c r="K164" t="str">
        <f>IFERROR(Table1[[#This Row],[Quantity]]*Table1[[#This Row],[Transactional Unit Price]],"NA")</f>
        <v>NA</v>
      </c>
      <c r="L164" t="str">
        <f>IFERROR(Table1[[#This Row],[Standard Unit Price]]*Table1[[#This Row],[Quantity]],"NA")</f>
        <v>NA</v>
      </c>
      <c r="M164" t="s">
        <v>21</v>
      </c>
      <c r="N16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64" t="s">
        <v>37</v>
      </c>
      <c r="T164">
        <f>VLOOKUP(Table3[[#This Row],[Product Name]],Table4[#All],2,FALSE)</f>
        <v>15000</v>
      </c>
      <c r="U164">
        <f>IFERROR(Table3[[#This Row],[Standard Price ]]-Table1[[#This Row],[Price Difference]],"NA")</f>
        <v>8500</v>
      </c>
    </row>
    <row r="165" spans="1:21" x14ac:dyDescent="0.25">
      <c r="A165" t="s">
        <v>245</v>
      </c>
      <c r="B165" s="1">
        <v>45647</v>
      </c>
      <c r="C165" t="s">
        <v>180</v>
      </c>
      <c r="D165" t="s">
        <v>26</v>
      </c>
      <c r="E165" t="s">
        <v>11</v>
      </c>
      <c r="F165" t="s">
        <v>27</v>
      </c>
      <c r="G165">
        <v>3</v>
      </c>
      <c r="H165">
        <v>12000</v>
      </c>
      <c r="I165">
        <v>8500</v>
      </c>
      <c r="J165">
        <v>3500</v>
      </c>
      <c r="K165">
        <f>IFERROR(Table1[[#This Row],[Quantity]]*Table1[[#This Row],[Transactional Unit Price]],"NA")</f>
        <v>25500</v>
      </c>
      <c r="L165">
        <f>IFERROR(Table1[[#This Row],[Standard Unit Price]]*Table1[[#This Row],[Quantity]],"NA")</f>
        <v>36000</v>
      </c>
      <c r="M165" t="s">
        <v>369</v>
      </c>
      <c r="N16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65" t="s">
        <v>26</v>
      </c>
      <c r="T165">
        <f>VLOOKUP(Table3[[#This Row],[Product Name]],Table4[#All],2,FALSE)</f>
        <v>12000</v>
      </c>
      <c r="U165">
        <f>IFERROR(Table3[[#This Row],[Standard Price ]]-Table1[[#This Row],[Price Difference]],"NA")</f>
        <v>8500</v>
      </c>
    </row>
    <row r="166" spans="1:21" x14ac:dyDescent="0.25">
      <c r="A166" t="s">
        <v>246</v>
      </c>
      <c r="B166" s="1">
        <v>45483</v>
      </c>
      <c r="C166" t="s">
        <v>61</v>
      </c>
      <c r="D166" t="s">
        <v>37</v>
      </c>
      <c r="E166" t="s">
        <v>19</v>
      </c>
      <c r="F166" t="s">
        <v>20</v>
      </c>
      <c r="G166">
        <v>5</v>
      </c>
      <c r="H166">
        <v>15000</v>
      </c>
      <c r="I166">
        <v>12000</v>
      </c>
      <c r="J166">
        <v>3000</v>
      </c>
      <c r="K166">
        <f>IFERROR(Table1[[#This Row],[Quantity]]*Table1[[#This Row],[Transactional Unit Price]],"NA")</f>
        <v>60000</v>
      </c>
      <c r="L166">
        <f>IFERROR(Table1[[#This Row],[Standard Unit Price]]*Table1[[#This Row],[Quantity]],"NA")</f>
        <v>75000</v>
      </c>
      <c r="M166" t="s">
        <v>13</v>
      </c>
      <c r="N16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66" t="s">
        <v>37</v>
      </c>
      <c r="T166">
        <f>VLOOKUP(Table3[[#This Row],[Product Name]],Table4[#All],2,FALSE)</f>
        <v>15000</v>
      </c>
      <c r="U166">
        <f>IFERROR(Table3[[#This Row],[Standard Price ]]-Table1[[#This Row],[Price Difference]],"NA")</f>
        <v>12000</v>
      </c>
    </row>
    <row r="167" spans="1:21" x14ac:dyDescent="0.25">
      <c r="A167" t="s">
        <v>247</v>
      </c>
      <c r="B167" s="1">
        <v>45384</v>
      </c>
      <c r="C167" t="s">
        <v>61</v>
      </c>
      <c r="D167" t="s">
        <v>30</v>
      </c>
      <c r="E167" t="s">
        <v>19</v>
      </c>
      <c r="F167" t="s">
        <v>27</v>
      </c>
      <c r="G167">
        <v>5</v>
      </c>
      <c r="H167">
        <v>9200</v>
      </c>
      <c r="I167">
        <v>12000</v>
      </c>
      <c r="J167">
        <v>-2800</v>
      </c>
      <c r="K167">
        <f>IFERROR(Table1[[#This Row],[Quantity]]*Table1[[#This Row],[Transactional Unit Price]],"NA")</f>
        <v>60000</v>
      </c>
      <c r="L167">
        <f>IFERROR(Table1[[#This Row],[Standard Unit Price]]*Table1[[#This Row],[Quantity]],"NA")</f>
        <v>46000</v>
      </c>
      <c r="M167" t="s">
        <v>13</v>
      </c>
      <c r="N16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67" t="s">
        <v>30</v>
      </c>
      <c r="T167">
        <f>VLOOKUP(Table3[[#This Row],[Product Name]],Table4[#All],2,FALSE)</f>
        <v>9200</v>
      </c>
      <c r="U167">
        <f>IFERROR(Table3[[#This Row],[Standard Price ]]-Table1[[#This Row],[Price Difference]],"NA")</f>
        <v>12000</v>
      </c>
    </row>
    <row r="168" spans="1:21" x14ac:dyDescent="0.25">
      <c r="A168" t="s">
        <v>248</v>
      </c>
      <c r="B168" s="1">
        <v>45415</v>
      </c>
      <c r="C168" t="s">
        <v>225</v>
      </c>
      <c r="D168" t="s">
        <v>37</v>
      </c>
      <c r="E168" t="s">
        <v>49</v>
      </c>
      <c r="F168" t="s">
        <v>20</v>
      </c>
      <c r="G168">
        <v>2</v>
      </c>
      <c r="H168">
        <v>15000</v>
      </c>
      <c r="I168">
        <v>12000</v>
      </c>
      <c r="J168">
        <v>3000</v>
      </c>
      <c r="K168">
        <f>IFERROR(Table1[[#This Row],[Quantity]]*Table1[[#This Row],[Transactional Unit Price]],"NA")</f>
        <v>24000</v>
      </c>
      <c r="L168">
        <f>IFERROR(Table1[[#This Row],[Standard Unit Price]]*Table1[[#This Row],[Quantity]],"NA")</f>
        <v>30000</v>
      </c>
      <c r="M168" t="s">
        <v>369</v>
      </c>
      <c r="N16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68" t="s">
        <v>37</v>
      </c>
      <c r="T168">
        <f>VLOOKUP(Table3[[#This Row],[Product Name]],Table4[#All],2,FALSE)</f>
        <v>15000</v>
      </c>
      <c r="U168">
        <f>IFERROR(Table3[[#This Row],[Standard Price ]]-Table1[[#This Row],[Price Difference]],"NA")</f>
        <v>12000</v>
      </c>
    </row>
    <row r="169" spans="1:21" x14ac:dyDescent="0.25">
      <c r="A169" t="s">
        <v>249</v>
      </c>
      <c r="B169" s="1">
        <v>45422</v>
      </c>
      <c r="C169" t="s">
        <v>121</v>
      </c>
      <c r="D169" t="s">
        <v>10</v>
      </c>
      <c r="E169" t="s">
        <v>11</v>
      </c>
      <c r="F169" t="s">
        <v>42</v>
      </c>
      <c r="G169">
        <v>3</v>
      </c>
      <c r="H169">
        <v>10000</v>
      </c>
      <c r="I169" t="s">
        <v>337</v>
      </c>
      <c r="J169" t="s">
        <v>337</v>
      </c>
      <c r="K169" t="str">
        <f>IFERROR(Table1[[#This Row],[Quantity]]*Table1[[#This Row],[Transactional Unit Price]],"NA")</f>
        <v>NA</v>
      </c>
      <c r="L169">
        <f>IFERROR(Table1[[#This Row],[Standard Unit Price]]*Table1[[#This Row],[Quantity]],"NA")</f>
        <v>30000</v>
      </c>
      <c r="M169" t="s">
        <v>13</v>
      </c>
      <c r="N16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69" t="s">
        <v>10</v>
      </c>
      <c r="T169">
        <f>VLOOKUP(Table3[[#This Row],[Product Name]],Table4[#All],2,FALSE)</f>
        <v>10000</v>
      </c>
      <c r="U169" t="str">
        <f>IFERROR(Table3[[#This Row],[Standard Price ]]-Table1[[#This Row],[Price Difference]],"NA")</f>
        <v>NA</v>
      </c>
    </row>
    <row r="170" spans="1:21" x14ac:dyDescent="0.25">
      <c r="A170" t="s">
        <v>250</v>
      </c>
      <c r="B170" s="1">
        <v>45518</v>
      </c>
      <c r="C170" t="s">
        <v>225</v>
      </c>
      <c r="D170" t="s">
        <v>26</v>
      </c>
      <c r="E170" t="s">
        <v>49</v>
      </c>
      <c r="F170" t="s">
        <v>31</v>
      </c>
      <c r="G170" t="s">
        <v>337</v>
      </c>
      <c r="H170">
        <v>12000</v>
      </c>
      <c r="I170">
        <v>12000</v>
      </c>
      <c r="J170">
        <v>0</v>
      </c>
      <c r="K170" t="str">
        <f>IFERROR(Table1[[#This Row],[Quantity]]*Table1[[#This Row],[Transactional Unit Price]],"NA")</f>
        <v>NA</v>
      </c>
      <c r="L170" t="str">
        <f>IFERROR(Table1[[#This Row],[Standard Unit Price]]*Table1[[#This Row],[Quantity]],"NA")</f>
        <v>NA</v>
      </c>
      <c r="M170" t="s">
        <v>369</v>
      </c>
      <c r="N17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70" t="s">
        <v>26</v>
      </c>
      <c r="T170">
        <f>VLOOKUP(Table3[[#This Row],[Product Name]],Table4[#All],2,FALSE)</f>
        <v>12000</v>
      </c>
      <c r="U170">
        <f>IFERROR(Table3[[#This Row],[Standard Price ]]-Table1[[#This Row],[Price Difference]],"NA")</f>
        <v>12000</v>
      </c>
    </row>
    <row r="171" spans="1:21" x14ac:dyDescent="0.25">
      <c r="A171" t="s">
        <v>251</v>
      </c>
      <c r="B171" s="1">
        <v>45446</v>
      </c>
      <c r="C171" t="s">
        <v>36</v>
      </c>
      <c r="D171" t="s">
        <v>30</v>
      </c>
      <c r="E171" t="s">
        <v>57</v>
      </c>
      <c r="F171" t="s">
        <v>42</v>
      </c>
      <c r="G171">
        <v>1</v>
      </c>
      <c r="H171">
        <v>9200</v>
      </c>
      <c r="I171">
        <v>9200</v>
      </c>
      <c r="J171">
        <v>0</v>
      </c>
      <c r="K171">
        <f>IFERROR(Table1[[#This Row],[Quantity]]*Table1[[#This Row],[Transactional Unit Price]],"NA")</f>
        <v>9200</v>
      </c>
      <c r="L171">
        <f>IFERROR(Table1[[#This Row],[Standard Unit Price]]*Table1[[#This Row],[Quantity]],"NA")</f>
        <v>9200</v>
      </c>
      <c r="M171" t="s">
        <v>21</v>
      </c>
      <c r="N17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71" t="s">
        <v>30</v>
      </c>
      <c r="T171">
        <f>VLOOKUP(Table3[[#This Row],[Product Name]],Table4[#All],2,FALSE)</f>
        <v>9200</v>
      </c>
      <c r="U171">
        <f>IFERROR(Table3[[#This Row],[Standard Price ]]-Table1[[#This Row],[Price Difference]],"NA")</f>
        <v>9200</v>
      </c>
    </row>
    <row r="172" spans="1:21" x14ac:dyDescent="0.25">
      <c r="A172" t="s">
        <v>252</v>
      </c>
      <c r="B172" s="1">
        <v>45475</v>
      </c>
      <c r="C172" t="s">
        <v>25</v>
      </c>
      <c r="D172" t="s">
        <v>46</v>
      </c>
      <c r="E172" t="s">
        <v>34</v>
      </c>
      <c r="F172" t="s">
        <v>12</v>
      </c>
      <c r="G172">
        <v>3</v>
      </c>
      <c r="H172">
        <v>13000</v>
      </c>
      <c r="I172">
        <v>8500</v>
      </c>
      <c r="J172">
        <v>4500</v>
      </c>
      <c r="K172">
        <f>IFERROR(Table1[[#This Row],[Quantity]]*Table1[[#This Row],[Transactional Unit Price]],"NA")</f>
        <v>25500</v>
      </c>
      <c r="L172">
        <f>IFERROR(Table1[[#This Row],[Standard Unit Price]]*Table1[[#This Row],[Quantity]],"NA")</f>
        <v>39000</v>
      </c>
      <c r="M172" t="s">
        <v>21</v>
      </c>
      <c r="N17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72" t="s">
        <v>46</v>
      </c>
      <c r="T172">
        <f>VLOOKUP(Table3[[#This Row],[Product Name]],Table4[#All],2,FALSE)</f>
        <v>13000</v>
      </c>
      <c r="U172">
        <f>IFERROR(Table3[[#This Row],[Standard Price ]]-Table1[[#This Row],[Price Difference]],"NA")</f>
        <v>8500</v>
      </c>
    </row>
    <row r="173" spans="1:21" x14ac:dyDescent="0.25">
      <c r="A173" t="s">
        <v>253</v>
      </c>
      <c r="B173" s="1">
        <v>45296</v>
      </c>
      <c r="C173" t="s">
        <v>99</v>
      </c>
      <c r="D173" t="s">
        <v>46</v>
      </c>
      <c r="E173" t="s">
        <v>19</v>
      </c>
      <c r="F173" t="s">
        <v>12</v>
      </c>
      <c r="G173" t="s">
        <v>337</v>
      </c>
      <c r="H173">
        <v>13000</v>
      </c>
      <c r="I173">
        <v>8500</v>
      </c>
      <c r="J173">
        <v>4500</v>
      </c>
      <c r="K173" t="str">
        <f>IFERROR(Table1[[#This Row],[Quantity]]*Table1[[#This Row],[Transactional Unit Price]],"NA")</f>
        <v>NA</v>
      </c>
      <c r="L173" t="str">
        <f>IFERROR(Table1[[#This Row],[Standard Unit Price]]*Table1[[#This Row],[Quantity]],"NA")</f>
        <v>NA</v>
      </c>
      <c r="M173" t="s">
        <v>13</v>
      </c>
      <c r="N17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73" t="s">
        <v>46</v>
      </c>
      <c r="T173">
        <f>VLOOKUP(Table3[[#This Row],[Product Name]],Table4[#All],2,FALSE)</f>
        <v>13000</v>
      </c>
      <c r="U173">
        <f>IFERROR(Table3[[#This Row],[Standard Price ]]-Table1[[#This Row],[Price Difference]],"NA")</f>
        <v>8500</v>
      </c>
    </row>
    <row r="174" spans="1:21" x14ac:dyDescent="0.25">
      <c r="A174" t="s">
        <v>254</v>
      </c>
      <c r="B174" s="1">
        <v>45546</v>
      </c>
      <c r="C174" t="s">
        <v>44</v>
      </c>
      <c r="D174" t="s">
        <v>26</v>
      </c>
      <c r="E174" t="s">
        <v>34</v>
      </c>
      <c r="F174" t="s">
        <v>20</v>
      </c>
      <c r="G174">
        <v>5</v>
      </c>
      <c r="H174">
        <v>12000</v>
      </c>
      <c r="I174">
        <v>10000</v>
      </c>
      <c r="J174">
        <v>2000</v>
      </c>
      <c r="K174">
        <f>IFERROR(Table1[[#This Row],[Quantity]]*Table1[[#This Row],[Transactional Unit Price]],"NA")</f>
        <v>50000</v>
      </c>
      <c r="L174">
        <f>IFERROR(Table1[[#This Row],[Standard Unit Price]]*Table1[[#This Row],[Quantity]],"NA")</f>
        <v>60000</v>
      </c>
      <c r="M174" t="s">
        <v>13</v>
      </c>
      <c r="N17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74" t="s">
        <v>26</v>
      </c>
      <c r="T174">
        <f>VLOOKUP(Table3[[#This Row],[Product Name]],Table4[#All],2,FALSE)</f>
        <v>12000</v>
      </c>
      <c r="U174">
        <f>IFERROR(Table3[[#This Row],[Standard Price ]]-Table1[[#This Row],[Price Difference]],"NA")</f>
        <v>10000</v>
      </c>
    </row>
    <row r="175" spans="1:21" x14ac:dyDescent="0.25">
      <c r="A175" t="s">
        <v>255</v>
      </c>
      <c r="B175" s="1">
        <v>45389</v>
      </c>
      <c r="C175" t="s">
        <v>76</v>
      </c>
      <c r="D175" t="s">
        <v>46</v>
      </c>
      <c r="E175" t="s">
        <v>34</v>
      </c>
      <c r="F175" t="s">
        <v>12</v>
      </c>
      <c r="G175" t="s">
        <v>337</v>
      </c>
      <c r="H175">
        <v>13000</v>
      </c>
      <c r="I175">
        <v>9200</v>
      </c>
      <c r="J175">
        <v>3800</v>
      </c>
      <c r="K175" t="str">
        <f>IFERROR(Table1[[#This Row],[Quantity]]*Table1[[#This Row],[Transactional Unit Price]],"NA")</f>
        <v>NA</v>
      </c>
      <c r="L175" t="str">
        <f>IFERROR(Table1[[#This Row],[Standard Unit Price]]*Table1[[#This Row],[Quantity]],"NA")</f>
        <v>NA</v>
      </c>
      <c r="M175" t="s">
        <v>21</v>
      </c>
      <c r="N17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75" t="s">
        <v>46</v>
      </c>
      <c r="T175">
        <f>VLOOKUP(Table3[[#This Row],[Product Name]],Table4[#All],2,FALSE)</f>
        <v>13000</v>
      </c>
      <c r="U175">
        <f>IFERROR(Table3[[#This Row],[Standard Price ]]-Table1[[#This Row],[Price Difference]],"NA")</f>
        <v>9200</v>
      </c>
    </row>
    <row r="176" spans="1:21" x14ac:dyDescent="0.25">
      <c r="A176" t="s">
        <v>256</v>
      </c>
      <c r="B176" s="1">
        <v>45613</v>
      </c>
      <c r="C176" t="s">
        <v>112</v>
      </c>
      <c r="D176" t="s">
        <v>10</v>
      </c>
      <c r="E176" t="s">
        <v>11</v>
      </c>
      <c r="F176" t="s">
        <v>31</v>
      </c>
      <c r="G176">
        <v>4</v>
      </c>
      <c r="H176">
        <v>10000</v>
      </c>
      <c r="I176">
        <v>8500</v>
      </c>
      <c r="J176">
        <v>1500</v>
      </c>
      <c r="K176">
        <f>IFERROR(Table1[[#This Row],[Quantity]]*Table1[[#This Row],[Transactional Unit Price]],"NA")</f>
        <v>34000</v>
      </c>
      <c r="L176">
        <f>IFERROR(Table1[[#This Row],[Standard Unit Price]]*Table1[[#This Row],[Quantity]],"NA")</f>
        <v>40000</v>
      </c>
      <c r="M176" t="s">
        <v>13</v>
      </c>
      <c r="N17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76" t="s">
        <v>10</v>
      </c>
      <c r="T176">
        <f>VLOOKUP(Table3[[#This Row],[Product Name]],Table4[#All],2,FALSE)</f>
        <v>10000</v>
      </c>
      <c r="U176">
        <f>IFERROR(Table3[[#This Row],[Standard Price ]]-Table1[[#This Row],[Price Difference]],"NA")</f>
        <v>8500</v>
      </c>
    </row>
    <row r="177" spans="1:21" x14ac:dyDescent="0.25">
      <c r="A177" t="s">
        <v>257</v>
      </c>
      <c r="B177" s="1">
        <v>45359</v>
      </c>
      <c r="C177" t="s">
        <v>67</v>
      </c>
      <c r="D177" t="s">
        <v>10</v>
      </c>
      <c r="E177" t="s">
        <v>34</v>
      </c>
      <c r="F177" t="s">
        <v>31</v>
      </c>
      <c r="G177" t="s">
        <v>337</v>
      </c>
      <c r="H177">
        <v>10000</v>
      </c>
      <c r="I177">
        <v>12000</v>
      </c>
      <c r="J177">
        <v>-2000</v>
      </c>
      <c r="K177" t="str">
        <f>IFERROR(Table1[[#This Row],[Quantity]]*Table1[[#This Row],[Transactional Unit Price]],"NA")</f>
        <v>NA</v>
      </c>
      <c r="L177" t="str">
        <f>IFERROR(Table1[[#This Row],[Standard Unit Price]]*Table1[[#This Row],[Quantity]],"NA")</f>
        <v>NA</v>
      </c>
      <c r="M177" t="s">
        <v>13</v>
      </c>
      <c r="N17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77" t="s">
        <v>10</v>
      </c>
      <c r="T177">
        <f>VLOOKUP(Table3[[#This Row],[Product Name]],Table4[#All],2,FALSE)</f>
        <v>10000</v>
      </c>
      <c r="U177">
        <f>IFERROR(Table3[[#This Row],[Standard Price ]]-Table1[[#This Row],[Price Difference]],"NA")</f>
        <v>12000</v>
      </c>
    </row>
    <row r="178" spans="1:21" x14ac:dyDescent="0.25">
      <c r="A178" t="s">
        <v>258</v>
      </c>
      <c r="B178" s="1">
        <v>45359</v>
      </c>
      <c r="C178" t="s">
        <v>92</v>
      </c>
      <c r="D178" t="s">
        <v>26</v>
      </c>
      <c r="E178" t="s">
        <v>49</v>
      </c>
      <c r="F178" t="s">
        <v>31</v>
      </c>
      <c r="G178">
        <v>5</v>
      </c>
      <c r="H178">
        <v>12000</v>
      </c>
      <c r="I178" t="s">
        <v>337</v>
      </c>
      <c r="J178" t="s">
        <v>337</v>
      </c>
      <c r="K178" t="str">
        <f>IFERROR(Table1[[#This Row],[Quantity]]*Table1[[#This Row],[Transactional Unit Price]],"NA")</f>
        <v>NA</v>
      </c>
      <c r="L178">
        <f>IFERROR(Table1[[#This Row],[Standard Unit Price]]*Table1[[#This Row],[Quantity]],"NA")</f>
        <v>60000</v>
      </c>
      <c r="M178" t="s">
        <v>369</v>
      </c>
      <c r="N17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78" t="s">
        <v>26</v>
      </c>
      <c r="T178">
        <f>VLOOKUP(Table3[[#This Row],[Product Name]],Table4[#All],2,FALSE)</f>
        <v>12000</v>
      </c>
      <c r="U178" t="str">
        <f>IFERROR(Table3[[#This Row],[Standard Price ]]-Table1[[#This Row],[Price Difference]],"NA")</f>
        <v>NA</v>
      </c>
    </row>
    <row r="179" spans="1:21" x14ac:dyDescent="0.25">
      <c r="A179" t="s">
        <v>259</v>
      </c>
      <c r="B179" s="1">
        <v>45376</v>
      </c>
      <c r="C179" t="s">
        <v>225</v>
      </c>
      <c r="D179" t="s">
        <v>26</v>
      </c>
      <c r="E179" t="s">
        <v>19</v>
      </c>
      <c r="F179" t="s">
        <v>42</v>
      </c>
      <c r="G179">
        <v>3</v>
      </c>
      <c r="H179">
        <v>12000</v>
      </c>
      <c r="I179">
        <v>10000</v>
      </c>
      <c r="J179">
        <v>2000</v>
      </c>
      <c r="K179">
        <f>IFERROR(Table1[[#This Row],[Quantity]]*Table1[[#This Row],[Transactional Unit Price]],"NA")</f>
        <v>30000</v>
      </c>
      <c r="L179">
        <f>IFERROR(Table1[[#This Row],[Standard Unit Price]]*Table1[[#This Row],[Quantity]],"NA")</f>
        <v>36000</v>
      </c>
      <c r="M179" t="s">
        <v>21</v>
      </c>
      <c r="N17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79" t="s">
        <v>26</v>
      </c>
      <c r="T179">
        <f>VLOOKUP(Table3[[#This Row],[Product Name]],Table4[#All],2,FALSE)</f>
        <v>12000</v>
      </c>
      <c r="U179">
        <f>IFERROR(Table3[[#This Row],[Standard Price ]]-Table1[[#This Row],[Price Difference]],"NA")</f>
        <v>10000</v>
      </c>
    </row>
    <row r="180" spans="1:21" x14ac:dyDescent="0.25">
      <c r="A180" t="s">
        <v>260</v>
      </c>
      <c r="B180" s="1">
        <v>45330</v>
      </c>
      <c r="C180" t="s">
        <v>112</v>
      </c>
      <c r="D180" t="s">
        <v>30</v>
      </c>
      <c r="E180" t="s">
        <v>19</v>
      </c>
      <c r="F180" t="s">
        <v>20</v>
      </c>
      <c r="G180" t="s">
        <v>337</v>
      </c>
      <c r="H180">
        <v>9200</v>
      </c>
      <c r="I180">
        <v>12000</v>
      </c>
      <c r="J180">
        <v>-2800</v>
      </c>
      <c r="K180" t="str">
        <f>IFERROR(Table1[[#This Row],[Quantity]]*Table1[[#This Row],[Transactional Unit Price]],"NA")</f>
        <v>NA</v>
      </c>
      <c r="L180" t="str">
        <f>IFERROR(Table1[[#This Row],[Standard Unit Price]]*Table1[[#This Row],[Quantity]],"NA")</f>
        <v>NA</v>
      </c>
      <c r="M180" t="s">
        <v>13</v>
      </c>
      <c r="N18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80" t="s">
        <v>30</v>
      </c>
      <c r="T180">
        <f>VLOOKUP(Table3[[#This Row],[Product Name]],Table4[#All],2,FALSE)</f>
        <v>9200</v>
      </c>
      <c r="U180">
        <f>IFERROR(Table3[[#This Row],[Standard Price ]]-Table1[[#This Row],[Price Difference]],"NA")</f>
        <v>12000</v>
      </c>
    </row>
    <row r="181" spans="1:21" x14ac:dyDescent="0.25">
      <c r="A181" t="s">
        <v>261</v>
      </c>
      <c r="B181" s="1">
        <v>45338</v>
      </c>
      <c r="C181" t="s">
        <v>225</v>
      </c>
      <c r="D181" t="s">
        <v>26</v>
      </c>
      <c r="E181" t="s">
        <v>57</v>
      </c>
      <c r="F181" t="s">
        <v>27</v>
      </c>
      <c r="G181">
        <v>3</v>
      </c>
      <c r="H181">
        <v>12000</v>
      </c>
      <c r="I181" t="s">
        <v>337</v>
      </c>
      <c r="J181" t="s">
        <v>337</v>
      </c>
      <c r="K181" t="str">
        <f>IFERROR(Table1[[#This Row],[Quantity]]*Table1[[#This Row],[Transactional Unit Price]],"NA")</f>
        <v>NA</v>
      </c>
      <c r="L181">
        <f>IFERROR(Table1[[#This Row],[Standard Unit Price]]*Table1[[#This Row],[Quantity]],"NA")</f>
        <v>36000</v>
      </c>
      <c r="M181" t="s">
        <v>21</v>
      </c>
      <c r="N18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81" t="s">
        <v>26</v>
      </c>
      <c r="T181">
        <f>VLOOKUP(Table3[[#This Row],[Product Name]],Table4[#All],2,FALSE)</f>
        <v>12000</v>
      </c>
      <c r="U181" t="str">
        <f>IFERROR(Table3[[#This Row],[Standard Price ]]-Table1[[#This Row],[Price Difference]],"NA")</f>
        <v>NA</v>
      </c>
    </row>
    <row r="182" spans="1:21" x14ac:dyDescent="0.25">
      <c r="A182" t="s">
        <v>262</v>
      </c>
      <c r="B182" s="1">
        <v>45480</v>
      </c>
      <c r="C182" t="s">
        <v>132</v>
      </c>
      <c r="D182" t="s">
        <v>10</v>
      </c>
      <c r="E182" t="s">
        <v>11</v>
      </c>
      <c r="F182" t="s">
        <v>12</v>
      </c>
      <c r="G182">
        <v>3</v>
      </c>
      <c r="H182">
        <v>10000</v>
      </c>
      <c r="I182" t="s">
        <v>337</v>
      </c>
      <c r="J182" t="s">
        <v>337</v>
      </c>
      <c r="K182" t="str">
        <f>IFERROR(Table1[[#This Row],[Quantity]]*Table1[[#This Row],[Transactional Unit Price]],"NA")</f>
        <v>NA</v>
      </c>
      <c r="L182">
        <f>IFERROR(Table1[[#This Row],[Standard Unit Price]]*Table1[[#This Row],[Quantity]],"NA")</f>
        <v>30000</v>
      </c>
      <c r="M182" t="s">
        <v>21</v>
      </c>
      <c r="N18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82" t="s">
        <v>10</v>
      </c>
      <c r="T182">
        <f>VLOOKUP(Table3[[#This Row],[Product Name]],Table4[#All],2,FALSE)</f>
        <v>10000</v>
      </c>
      <c r="U182" t="str">
        <f>IFERROR(Table3[[#This Row],[Standard Price ]]-Table1[[#This Row],[Price Difference]],"NA")</f>
        <v>NA</v>
      </c>
    </row>
    <row r="183" spans="1:21" x14ac:dyDescent="0.25">
      <c r="A183" t="s">
        <v>263</v>
      </c>
      <c r="B183" s="1">
        <v>45618</v>
      </c>
      <c r="C183" t="s">
        <v>127</v>
      </c>
      <c r="D183" t="s">
        <v>26</v>
      </c>
      <c r="E183" t="s">
        <v>11</v>
      </c>
      <c r="F183" t="s">
        <v>12</v>
      </c>
      <c r="G183">
        <v>2</v>
      </c>
      <c r="H183">
        <v>12000</v>
      </c>
      <c r="I183">
        <v>12000</v>
      </c>
      <c r="J183">
        <v>0</v>
      </c>
      <c r="K183">
        <f>IFERROR(Table1[[#This Row],[Quantity]]*Table1[[#This Row],[Transactional Unit Price]],"NA")</f>
        <v>24000</v>
      </c>
      <c r="L183">
        <f>IFERROR(Table1[[#This Row],[Standard Unit Price]]*Table1[[#This Row],[Quantity]],"NA")</f>
        <v>24000</v>
      </c>
      <c r="M183" t="s">
        <v>21</v>
      </c>
      <c r="N18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83" t="s">
        <v>26</v>
      </c>
      <c r="T183">
        <f>VLOOKUP(Table3[[#This Row],[Product Name]],Table4[#All],2,FALSE)</f>
        <v>12000</v>
      </c>
      <c r="U183">
        <f>IFERROR(Table3[[#This Row],[Standard Price ]]-Table1[[#This Row],[Price Difference]],"NA")</f>
        <v>12000</v>
      </c>
    </row>
    <row r="184" spans="1:21" x14ac:dyDescent="0.25">
      <c r="A184" t="s">
        <v>264</v>
      </c>
      <c r="B184" s="1">
        <v>45579</v>
      </c>
      <c r="C184" t="s">
        <v>51</v>
      </c>
      <c r="D184" t="s">
        <v>26</v>
      </c>
      <c r="E184" t="s">
        <v>49</v>
      </c>
      <c r="F184" t="s">
        <v>20</v>
      </c>
      <c r="G184" t="s">
        <v>337</v>
      </c>
      <c r="H184">
        <v>12000</v>
      </c>
      <c r="I184">
        <v>8500</v>
      </c>
      <c r="J184">
        <v>3500</v>
      </c>
      <c r="K184" t="str">
        <f>IFERROR(Table1[[#This Row],[Quantity]]*Table1[[#This Row],[Transactional Unit Price]],"NA")</f>
        <v>NA</v>
      </c>
      <c r="L184" t="str">
        <f>IFERROR(Table1[[#This Row],[Standard Unit Price]]*Table1[[#This Row],[Quantity]],"NA")</f>
        <v>NA</v>
      </c>
      <c r="M184" t="s">
        <v>21</v>
      </c>
      <c r="N18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84" t="s">
        <v>26</v>
      </c>
      <c r="T184">
        <f>VLOOKUP(Table3[[#This Row],[Product Name]],Table4[#All],2,FALSE)</f>
        <v>12000</v>
      </c>
      <c r="U184">
        <f>IFERROR(Table3[[#This Row],[Standard Price ]]-Table1[[#This Row],[Price Difference]],"NA")</f>
        <v>8500</v>
      </c>
    </row>
    <row r="185" spans="1:21" x14ac:dyDescent="0.25">
      <c r="A185" t="s">
        <v>265</v>
      </c>
      <c r="B185" s="1">
        <v>45650</v>
      </c>
      <c r="C185" t="s">
        <v>15</v>
      </c>
      <c r="D185" t="s">
        <v>26</v>
      </c>
      <c r="E185" t="s">
        <v>11</v>
      </c>
      <c r="F185" t="s">
        <v>42</v>
      </c>
      <c r="G185">
        <v>1</v>
      </c>
      <c r="H185">
        <v>12000</v>
      </c>
      <c r="I185">
        <v>9200</v>
      </c>
      <c r="J185">
        <v>2800</v>
      </c>
      <c r="K185">
        <f>IFERROR(Table1[[#This Row],[Quantity]]*Table1[[#This Row],[Transactional Unit Price]],"NA")</f>
        <v>9200</v>
      </c>
      <c r="L185">
        <f>IFERROR(Table1[[#This Row],[Standard Unit Price]]*Table1[[#This Row],[Quantity]],"NA")</f>
        <v>12000</v>
      </c>
      <c r="M185" t="s">
        <v>21</v>
      </c>
      <c r="N18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85" t="s">
        <v>26</v>
      </c>
      <c r="T185">
        <f>VLOOKUP(Table3[[#This Row],[Product Name]],Table4[#All],2,FALSE)</f>
        <v>12000</v>
      </c>
      <c r="U185">
        <f>IFERROR(Table3[[#This Row],[Standard Price ]]-Table1[[#This Row],[Price Difference]],"NA")</f>
        <v>9200</v>
      </c>
    </row>
    <row r="186" spans="1:21" x14ac:dyDescent="0.25">
      <c r="A186" t="s">
        <v>266</v>
      </c>
      <c r="B186" s="1">
        <v>45447</v>
      </c>
      <c r="C186" t="s">
        <v>59</v>
      </c>
      <c r="D186" t="s">
        <v>37</v>
      </c>
      <c r="E186" t="s">
        <v>11</v>
      </c>
      <c r="F186" t="s">
        <v>27</v>
      </c>
      <c r="G186">
        <v>2</v>
      </c>
      <c r="H186">
        <v>15000</v>
      </c>
      <c r="I186" t="s">
        <v>337</v>
      </c>
      <c r="J186" t="s">
        <v>337</v>
      </c>
      <c r="K186" t="str">
        <f>IFERROR(Table1[[#This Row],[Quantity]]*Table1[[#This Row],[Transactional Unit Price]],"NA")</f>
        <v>NA</v>
      </c>
      <c r="L186">
        <f>IFERROR(Table1[[#This Row],[Standard Unit Price]]*Table1[[#This Row],[Quantity]],"NA")</f>
        <v>30000</v>
      </c>
      <c r="M186" t="s">
        <v>13</v>
      </c>
      <c r="N18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86" t="s">
        <v>37</v>
      </c>
      <c r="T186">
        <f>VLOOKUP(Table3[[#This Row],[Product Name]],Table4[#All],2,FALSE)</f>
        <v>15000</v>
      </c>
      <c r="U186" t="str">
        <f>IFERROR(Table3[[#This Row],[Standard Price ]]-Table1[[#This Row],[Price Difference]],"NA")</f>
        <v>NA</v>
      </c>
    </row>
    <row r="187" spans="1:21" x14ac:dyDescent="0.25">
      <c r="A187" t="s">
        <v>267</v>
      </c>
      <c r="B187" s="1">
        <v>45524</v>
      </c>
      <c r="C187" t="s">
        <v>218</v>
      </c>
      <c r="D187" t="s">
        <v>26</v>
      </c>
      <c r="E187" t="s">
        <v>11</v>
      </c>
      <c r="F187" t="s">
        <v>12</v>
      </c>
      <c r="G187" t="s">
        <v>337</v>
      </c>
      <c r="H187">
        <v>12000</v>
      </c>
      <c r="I187" t="s">
        <v>337</v>
      </c>
      <c r="J187" t="s">
        <v>337</v>
      </c>
      <c r="K187" t="str">
        <f>IFERROR(Table1[[#This Row],[Quantity]]*Table1[[#This Row],[Transactional Unit Price]],"NA")</f>
        <v>NA</v>
      </c>
      <c r="L187" t="str">
        <f>IFERROR(Table1[[#This Row],[Standard Unit Price]]*Table1[[#This Row],[Quantity]],"NA")</f>
        <v>NA</v>
      </c>
      <c r="M187" t="s">
        <v>21</v>
      </c>
      <c r="N18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87" t="s">
        <v>26</v>
      </c>
      <c r="T187">
        <f>VLOOKUP(Table3[[#This Row],[Product Name]],Table4[#All],2,FALSE)</f>
        <v>12000</v>
      </c>
      <c r="U187" t="str">
        <f>IFERROR(Table3[[#This Row],[Standard Price ]]-Table1[[#This Row],[Price Difference]],"NA")</f>
        <v>NA</v>
      </c>
    </row>
    <row r="188" spans="1:21" x14ac:dyDescent="0.25">
      <c r="A188" t="s">
        <v>268</v>
      </c>
      <c r="B188" s="1">
        <v>45371</v>
      </c>
      <c r="C188" t="s">
        <v>25</v>
      </c>
      <c r="D188" t="s">
        <v>37</v>
      </c>
      <c r="E188" t="s">
        <v>11</v>
      </c>
      <c r="F188" t="s">
        <v>27</v>
      </c>
      <c r="G188">
        <v>4</v>
      </c>
      <c r="H188">
        <v>15000</v>
      </c>
      <c r="I188" t="s">
        <v>337</v>
      </c>
      <c r="J188" t="s">
        <v>337</v>
      </c>
      <c r="K188" t="str">
        <f>IFERROR(Table1[[#This Row],[Quantity]]*Table1[[#This Row],[Transactional Unit Price]],"NA")</f>
        <v>NA</v>
      </c>
      <c r="L188">
        <f>IFERROR(Table1[[#This Row],[Standard Unit Price]]*Table1[[#This Row],[Quantity]],"NA")</f>
        <v>60000</v>
      </c>
      <c r="M188" t="s">
        <v>21</v>
      </c>
      <c r="N18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88" t="s">
        <v>37</v>
      </c>
      <c r="T188">
        <f>VLOOKUP(Table3[[#This Row],[Product Name]],Table4[#All],2,FALSE)</f>
        <v>15000</v>
      </c>
      <c r="U188" t="str">
        <f>IFERROR(Table3[[#This Row],[Standard Price ]]-Table1[[#This Row],[Price Difference]],"NA")</f>
        <v>NA</v>
      </c>
    </row>
    <row r="189" spans="1:21" x14ac:dyDescent="0.25">
      <c r="A189" t="s">
        <v>269</v>
      </c>
      <c r="B189" s="1">
        <v>45308</v>
      </c>
      <c r="C189" t="s">
        <v>102</v>
      </c>
      <c r="D189" t="s">
        <v>10</v>
      </c>
      <c r="E189" t="s">
        <v>34</v>
      </c>
      <c r="F189" t="s">
        <v>20</v>
      </c>
      <c r="G189">
        <v>4</v>
      </c>
      <c r="H189">
        <v>10000</v>
      </c>
      <c r="I189">
        <v>12000</v>
      </c>
      <c r="J189">
        <v>-2000</v>
      </c>
      <c r="K189">
        <f>IFERROR(Table1[[#This Row],[Quantity]]*Table1[[#This Row],[Transactional Unit Price]],"NA")</f>
        <v>48000</v>
      </c>
      <c r="L189">
        <f>IFERROR(Table1[[#This Row],[Standard Unit Price]]*Table1[[#This Row],[Quantity]],"NA")</f>
        <v>40000</v>
      </c>
      <c r="M189" t="s">
        <v>13</v>
      </c>
      <c r="N18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89" t="s">
        <v>10</v>
      </c>
      <c r="T189">
        <f>VLOOKUP(Table3[[#This Row],[Product Name]],Table4[#All],2,FALSE)</f>
        <v>10000</v>
      </c>
      <c r="U189">
        <f>IFERROR(Table3[[#This Row],[Standard Price ]]-Table1[[#This Row],[Price Difference]],"NA")</f>
        <v>12000</v>
      </c>
    </row>
    <row r="190" spans="1:21" x14ac:dyDescent="0.25">
      <c r="A190" t="s">
        <v>270</v>
      </c>
      <c r="B190" s="1">
        <v>45477</v>
      </c>
      <c r="C190" t="s">
        <v>134</v>
      </c>
      <c r="D190" t="s">
        <v>10</v>
      </c>
      <c r="E190" t="s">
        <v>11</v>
      </c>
      <c r="F190" t="s">
        <v>31</v>
      </c>
      <c r="G190">
        <v>5</v>
      </c>
      <c r="H190">
        <v>10000</v>
      </c>
      <c r="I190">
        <v>10000</v>
      </c>
      <c r="J190">
        <v>0</v>
      </c>
      <c r="K190">
        <f>IFERROR(Table1[[#This Row],[Quantity]]*Table1[[#This Row],[Transactional Unit Price]],"NA")</f>
        <v>50000</v>
      </c>
      <c r="L190">
        <f>IFERROR(Table1[[#This Row],[Standard Unit Price]]*Table1[[#This Row],[Quantity]],"NA")</f>
        <v>50000</v>
      </c>
      <c r="M190" t="s">
        <v>21</v>
      </c>
      <c r="N19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90" t="s">
        <v>10</v>
      </c>
      <c r="T190">
        <f>VLOOKUP(Table3[[#This Row],[Product Name]],Table4[#All],2,FALSE)</f>
        <v>10000</v>
      </c>
      <c r="U190">
        <f>IFERROR(Table3[[#This Row],[Standard Price ]]-Table1[[#This Row],[Price Difference]],"NA")</f>
        <v>10000</v>
      </c>
    </row>
    <row r="191" spans="1:21" x14ac:dyDescent="0.25">
      <c r="A191" t="s">
        <v>271</v>
      </c>
      <c r="B191" s="1">
        <v>45433</v>
      </c>
      <c r="C191" t="s">
        <v>78</v>
      </c>
      <c r="D191" t="s">
        <v>30</v>
      </c>
      <c r="E191" t="s">
        <v>11</v>
      </c>
      <c r="F191" t="s">
        <v>42</v>
      </c>
      <c r="G191">
        <v>1</v>
      </c>
      <c r="H191">
        <v>9200</v>
      </c>
      <c r="I191">
        <v>9200</v>
      </c>
      <c r="J191">
        <v>0</v>
      </c>
      <c r="K191">
        <f>IFERROR(Table1[[#This Row],[Quantity]]*Table1[[#This Row],[Transactional Unit Price]],"NA")</f>
        <v>9200</v>
      </c>
      <c r="L191">
        <f>IFERROR(Table1[[#This Row],[Standard Unit Price]]*Table1[[#This Row],[Quantity]],"NA")</f>
        <v>9200</v>
      </c>
      <c r="M191" t="s">
        <v>13</v>
      </c>
      <c r="N19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91" t="s">
        <v>30</v>
      </c>
      <c r="T191">
        <f>VLOOKUP(Table3[[#This Row],[Product Name]],Table4[#All],2,FALSE)</f>
        <v>9200</v>
      </c>
      <c r="U191">
        <f>IFERROR(Table3[[#This Row],[Standard Price ]]-Table1[[#This Row],[Price Difference]],"NA")</f>
        <v>9200</v>
      </c>
    </row>
    <row r="192" spans="1:21" x14ac:dyDescent="0.25">
      <c r="A192" t="s">
        <v>272</v>
      </c>
      <c r="B192" s="1">
        <v>45317</v>
      </c>
      <c r="C192" t="s">
        <v>121</v>
      </c>
      <c r="D192" t="s">
        <v>26</v>
      </c>
      <c r="E192" t="s">
        <v>34</v>
      </c>
      <c r="F192" t="s">
        <v>20</v>
      </c>
      <c r="G192">
        <v>2</v>
      </c>
      <c r="H192">
        <v>12000</v>
      </c>
      <c r="I192" t="s">
        <v>337</v>
      </c>
      <c r="J192" t="s">
        <v>337</v>
      </c>
      <c r="K192" t="str">
        <f>IFERROR(Table1[[#This Row],[Quantity]]*Table1[[#This Row],[Transactional Unit Price]],"NA")</f>
        <v>NA</v>
      </c>
      <c r="L192">
        <f>IFERROR(Table1[[#This Row],[Standard Unit Price]]*Table1[[#This Row],[Quantity]],"NA")</f>
        <v>24000</v>
      </c>
      <c r="M192" t="s">
        <v>13</v>
      </c>
      <c r="N19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92" t="s">
        <v>26</v>
      </c>
      <c r="T192">
        <f>VLOOKUP(Table3[[#This Row],[Product Name]],Table4[#All],2,FALSE)</f>
        <v>12000</v>
      </c>
      <c r="U192" t="str">
        <f>IFERROR(Table3[[#This Row],[Standard Price ]]-Table1[[#This Row],[Price Difference]],"NA")</f>
        <v>NA</v>
      </c>
    </row>
    <row r="193" spans="1:21" x14ac:dyDescent="0.25">
      <c r="A193" t="s">
        <v>273</v>
      </c>
      <c r="B193" s="1">
        <v>45575</v>
      </c>
      <c r="C193" t="s">
        <v>274</v>
      </c>
      <c r="D193" t="s">
        <v>30</v>
      </c>
      <c r="E193" t="s">
        <v>49</v>
      </c>
      <c r="F193" t="s">
        <v>20</v>
      </c>
      <c r="G193">
        <v>2</v>
      </c>
      <c r="H193">
        <v>9200</v>
      </c>
      <c r="I193">
        <v>10000</v>
      </c>
      <c r="J193">
        <v>-800</v>
      </c>
      <c r="K193">
        <f>IFERROR(Table1[[#This Row],[Quantity]]*Table1[[#This Row],[Transactional Unit Price]],"NA")</f>
        <v>20000</v>
      </c>
      <c r="L193">
        <f>IFERROR(Table1[[#This Row],[Standard Unit Price]]*Table1[[#This Row],[Quantity]],"NA")</f>
        <v>18400</v>
      </c>
      <c r="M193" t="s">
        <v>13</v>
      </c>
      <c r="N19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193" t="s">
        <v>30</v>
      </c>
      <c r="T193">
        <f>VLOOKUP(Table3[[#This Row],[Product Name]],Table4[#All],2,FALSE)</f>
        <v>9200</v>
      </c>
      <c r="U193">
        <f>IFERROR(Table3[[#This Row],[Standard Price ]]-Table1[[#This Row],[Price Difference]],"NA")</f>
        <v>10000</v>
      </c>
    </row>
    <row r="194" spans="1:21" x14ac:dyDescent="0.25">
      <c r="A194" t="s">
        <v>275</v>
      </c>
      <c r="B194" s="1">
        <v>45597</v>
      </c>
      <c r="C194" t="s">
        <v>114</v>
      </c>
      <c r="D194" t="s">
        <v>10</v>
      </c>
      <c r="E194" t="s">
        <v>34</v>
      </c>
      <c r="F194" t="s">
        <v>20</v>
      </c>
      <c r="G194">
        <v>2</v>
      </c>
      <c r="H194">
        <v>10000</v>
      </c>
      <c r="I194" t="s">
        <v>337</v>
      </c>
      <c r="J194" t="s">
        <v>337</v>
      </c>
      <c r="K194" t="str">
        <f>IFERROR(Table1[[#This Row],[Quantity]]*Table1[[#This Row],[Transactional Unit Price]],"NA")</f>
        <v>NA</v>
      </c>
      <c r="L194">
        <f>IFERROR(Table1[[#This Row],[Standard Unit Price]]*Table1[[#This Row],[Quantity]],"NA")</f>
        <v>20000</v>
      </c>
      <c r="M194" t="s">
        <v>369</v>
      </c>
      <c r="N19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94" t="s">
        <v>10</v>
      </c>
      <c r="T194">
        <f>VLOOKUP(Table3[[#This Row],[Product Name]],Table4[#All],2,FALSE)</f>
        <v>10000</v>
      </c>
      <c r="U194" t="str">
        <f>IFERROR(Table3[[#This Row],[Standard Price ]]-Table1[[#This Row],[Price Difference]],"NA")</f>
        <v>NA</v>
      </c>
    </row>
    <row r="195" spans="1:21" x14ac:dyDescent="0.25">
      <c r="A195" t="s">
        <v>276</v>
      </c>
      <c r="B195" s="1">
        <v>45381</v>
      </c>
      <c r="C195" t="s">
        <v>274</v>
      </c>
      <c r="D195" t="s">
        <v>10</v>
      </c>
      <c r="E195" t="s">
        <v>11</v>
      </c>
      <c r="F195" t="s">
        <v>27</v>
      </c>
      <c r="G195">
        <v>2</v>
      </c>
      <c r="H195">
        <v>10000</v>
      </c>
      <c r="I195">
        <v>8500</v>
      </c>
      <c r="J195">
        <v>1500</v>
      </c>
      <c r="K195">
        <f>IFERROR(Table1[[#This Row],[Quantity]]*Table1[[#This Row],[Transactional Unit Price]],"NA")</f>
        <v>17000</v>
      </c>
      <c r="L195">
        <f>IFERROR(Table1[[#This Row],[Standard Unit Price]]*Table1[[#This Row],[Quantity]],"NA")</f>
        <v>20000</v>
      </c>
      <c r="M195" t="s">
        <v>369</v>
      </c>
      <c r="N19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95" t="s">
        <v>10</v>
      </c>
      <c r="T195">
        <f>VLOOKUP(Table3[[#This Row],[Product Name]],Table4[#All],2,FALSE)</f>
        <v>10000</v>
      </c>
      <c r="U195">
        <f>IFERROR(Table3[[#This Row],[Standard Price ]]-Table1[[#This Row],[Price Difference]],"NA")</f>
        <v>8500</v>
      </c>
    </row>
    <row r="196" spans="1:21" x14ac:dyDescent="0.25">
      <c r="A196" t="s">
        <v>277</v>
      </c>
      <c r="B196" s="1">
        <v>45413</v>
      </c>
      <c r="C196" t="s">
        <v>9</v>
      </c>
      <c r="D196" t="s">
        <v>46</v>
      </c>
      <c r="E196" t="s">
        <v>34</v>
      </c>
      <c r="F196" t="s">
        <v>27</v>
      </c>
      <c r="G196">
        <v>2</v>
      </c>
      <c r="H196">
        <v>13000</v>
      </c>
      <c r="I196">
        <v>10000</v>
      </c>
      <c r="J196">
        <v>3000</v>
      </c>
      <c r="K196">
        <f>IFERROR(Table1[[#This Row],[Quantity]]*Table1[[#This Row],[Transactional Unit Price]],"NA")</f>
        <v>20000</v>
      </c>
      <c r="L196">
        <f>IFERROR(Table1[[#This Row],[Standard Unit Price]]*Table1[[#This Row],[Quantity]],"NA")</f>
        <v>26000</v>
      </c>
      <c r="M196" t="s">
        <v>21</v>
      </c>
      <c r="N19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96" t="s">
        <v>46</v>
      </c>
      <c r="T196">
        <f>VLOOKUP(Table3[[#This Row],[Product Name]],Table4[#All],2,FALSE)</f>
        <v>13000</v>
      </c>
      <c r="U196">
        <f>IFERROR(Table3[[#This Row],[Standard Price ]]-Table1[[#This Row],[Price Difference]],"NA")</f>
        <v>10000</v>
      </c>
    </row>
    <row r="197" spans="1:21" x14ac:dyDescent="0.25">
      <c r="A197" t="s">
        <v>278</v>
      </c>
      <c r="B197" s="1">
        <v>45507</v>
      </c>
      <c r="C197" t="s">
        <v>152</v>
      </c>
      <c r="D197" t="s">
        <v>46</v>
      </c>
      <c r="E197" t="s">
        <v>11</v>
      </c>
      <c r="F197" t="s">
        <v>12</v>
      </c>
      <c r="G197">
        <v>1</v>
      </c>
      <c r="H197">
        <v>13000</v>
      </c>
      <c r="I197">
        <v>12000</v>
      </c>
      <c r="J197">
        <v>1000</v>
      </c>
      <c r="K197">
        <f>IFERROR(Table1[[#This Row],[Quantity]]*Table1[[#This Row],[Transactional Unit Price]],"NA")</f>
        <v>12000</v>
      </c>
      <c r="L197">
        <f>IFERROR(Table1[[#This Row],[Standard Unit Price]]*Table1[[#This Row],[Quantity]],"NA")</f>
        <v>13000</v>
      </c>
      <c r="M197" t="s">
        <v>21</v>
      </c>
      <c r="N19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197" t="s">
        <v>46</v>
      </c>
      <c r="T197">
        <f>VLOOKUP(Table3[[#This Row],[Product Name]],Table4[#All],2,FALSE)</f>
        <v>13000</v>
      </c>
      <c r="U197">
        <f>IFERROR(Table3[[#This Row],[Standard Price ]]-Table1[[#This Row],[Price Difference]],"NA")</f>
        <v>12000</v>
      </c>
    </row>
    <row r="198" spans="1:21" x14ac:dyDescent="0.25">
      <c r="A198" t="s">
        <v>279</v>
      </c>
      <c r="B198" s="1">
        <v>45477</v>
      </c>
      <c r="C198" t="s">
        <v>127</v>
      </c>
      <c r="D198" t="s">
        <v>46</v>
      </c>
      <c r="E198" t="s">
        <v>49</v>
      </c>
      <c r="F198" t="s">
        <v>27</v>
      </c>
      <c r="G198">
        <v>4</v>
      </c>
      <c r="H198">
        <v>13000</v>
      </c>
      <c r="I198" t="s">
        <v>337</v>
      </c>
      <c r="J198" t="s">
        <v>337</v>
      </c>
      <c r="K198" t="str">
        <f>IFERROR(Table1[[#This Row],[Quantity]]*Table1[[#This Row],[Transactional Unit Price]],"NA")</f>
        <v>NA</v>
      </c>
      <c r="L198">
        <f>IFERROR(Table1[[#This Row],[Standard Unit Price]]*Table1[[#This Row],[Quantity]],"NA")</f>
        <v>52000</v>
      </c>
      <c r="M198" t="s">
        <v>13</v>
      </c>
      <c r="N19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198" t="s">
        <v>46</v>
      </c>
      <c r="T198">
        <f>VLOOKUP(Table3[[#This Row],[Product Name]],Table4[#All],2,FALSE)</f>
        <v>13000</v>
      </c>
      <c r="U198" t="str">
        <f>IFERROR(Table3[[#This Row],[Standard Price ]]-Table1[[#This Row],[Price Difference]],"NA")</f>
        <v>NA</v>
      </c>
    </row>
    <row r="199" spans="1:21" x14ac:dyDescent="0.25">
      <c r="A199" t="s">
        <v>280</v>
      </c>
      <c r="B199" s="1">
        <v>45314</v>
      </c>
      <c r="C199" t="s">
        <v>167</v>
      </c>
      <c r="D199" t="s">
        <v>10</v>
      </c>
      <c r="E199" t="s">
        <v>19</v>
      </c>
      <c r="F199" t="s">
        <v>12</v>
      </c>
      <c r="G199">
        <v>5</v>
      </c>
      <c r="H199">
        <v>10000</v>
      </c>
      <c r="I199">
        <v>10000</v>
      </c>
      <c r="J199">
        <v>0</v>
      </c>
      <c r="K199">
        <f>IFERROR(Table1[[#This Row],[Quantity]]*Table1[[#This Row],[Transactional Unit Price]],"NA")</f>
        <v>50000</v>
      </c>
      <c r="L199">
        <f>IFERROR(Table1[[#This Row],[Standard Unit Price]]*Table1[[#This Row],[Quantity]],"NA")</f>
        <v>50000</v>
      </c>
      <c r="M199" t="s">
        <v>21</v>
      </c>
      <c r="N19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199" t="s">
        <v>10</v>
      </c>
      <c r="T199">
        <f>VLOOKUP(Table3[[#This Row],[Product Name]],Table4[#All],2,FALSE)</f>
        <v>10000</v>
      </c>
      <c r="U199">
        <f>IFERROR(Table3[[#This Row],[Standard Price ]]-Table1[[#This Row],[Price Difference]],"NA")</f>
        <v>10000</v>
      </c>
    </row>
    <row r="200" spans="1:21" x14ac:dyDescent="0.25">
      <c r="A200" t="s">
        <v>281</v>
      </c>
      <c r="B200" s="1">
        <v>45307</v>
      </c>
      <c r="C200" t="s">
        <v>80</v>
      </c>
      <c r="D200" t="s">
        <v>10</v>
      </c>
      <c r="E200" t="s">
        <v>57</v>
      </c>
      <c r="F200" t="s">
        <v>42</v>
      </c>
      <c r="G200">
        <v>4</v>
      </c>
      <c r="H200">
        <v>10000</v>
      </c>
      <c r="I200">
        <v>8500</v>
      </c>
      <c r="J200">
        <v>1500</v>
      </c>
      <c r="K200">
        <f>IFERROR(Table1[[#This Row],[Quantity]]*Table1[[#This Row],[Transactional Unit Price]],"NA")</f>
        <v>34000</v>
      </c>
      <c r="L200">
        <f>IFERROR(Table1[[#This Row],[Standard Unit Price]]*Table1[[#This Row],[Quantity]],"NA")</f>
        <v>40000</v>
      </c>
      <c r="M200" t="s">
        <v>21</v>
      </c>
      <c r="N20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00" t="s">
        <v>10</v>
      </c>
      <c r="T200">
        <f>VLOOKUP(Table3[[#This Row],[Product Name]],Table4[#All],2,FALSE)</f>
        <v>10000</v>
      </c>
      <c r="U200">
        <f>IFERROR(Table3[[#This Row],[Standard Price ]]-Table1[[#This Row],[Price Difference]],"NA")</f>
        <v>8500</v>
      </c>
    </row>
    <row r="201" spans="1:21" x14ac:dyDescent="0.25">
      <c r="A201" t="s">
        <v>282</v>
      </c>
      <c r="B201" s="1">
        <v>45519</v>
      </c>
      <c r="C201" t="s">
        <v>9</v>
      </c>
      <c r="D201" t="s">
        <v>10</v>
      </c>
      <c r="E201" t="s">
        <v>11</v>
      </c>
      <c r="F201" t="s">
        <v>31</v>
      </c>
      <c r="G201">
        <v>5</v>
      </c>
      <c r="H201">
        <v>10000</v>
      </c>
      <c r="I201">
        <v>9200</v>
      </c>
      <c r="J201">
        <v>800</v>
      </c>
      <c r="K201">
        <f>IFERROR(Table1[[#This Row],[Quantity]]*Table1[[#This Row],[Transactional Unit Price]],"NA")</f>
        <v>46000</v>
      </c>
      <c r="L201">
        <f>IFERROR(Table1[[#This Row],[Standard Unit Price]]*Table1[[#This Row],[Quantity]],"NA")</f>
        <v>50000</v>
      </c>
      <c r="M201" t="s">
        <v>21</v>
      </c>
      <c r="N20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01" t="s">
        <v>10</v>
      </c>
      <c r="T201">
        <f>VLOOKUP(Table3[[#This Row],[Product Name]],Table4[#All],2,FALSE)</f>
        <v>10000</v>
      </c>
      <c r="U201">
        <f>IFERROR(Table3[[#This Row],[Standard Price ]]-Table1[[#This Row],[Price Difference]],"NA")</f>
        <v>9200</v>
      </c>
    </row>
    <row r="202" spans="1:21" x14ac:dyDescent="0.25">
      <c r="A202" t="s">
        <v>283</v>
      </c>
      <c r="B202" s="1">
        <v>45432</v>
      </c>
      <c r="C202" t="s">
        <v>69</v>
      </c>
      <c r="D202" t="s">
        <v>46</v>
      </c>
      <c r="E202" t="s">
        <v>11</v>
      </c>
      <c r="F202" t="s">
        <v>16</v>
      </c>
      <c r="G202">
        <v>5</v>
      </c>
      <c r="H202">
        <v>13000</v>
      </c>
      <c r="I202">
        <v>10000</v>
      </c>
      <c r="J202">
        <v>3000</v>
      </c>
      <c r="K202">
        <f>IFERROR(Table1[[#This Row],[Quantity]]*Table1[[#This Row],[Transactional Unit Price]],"NA")</f>
        <v>50000</v>
      </c>
      <c r="L202">
        <f>IFERROR(Table1[[#This Row],[Standard Unit Price]]*Table1[[#This Row],[Quantity]],"NA")</f>
        <v>65000</v>
      </c>
      <c r="M202" t="s">
        <v>21</v>
      </c>
      <c r="N20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02" t="s">
        <v>46</v>
      </c>
      <c r="T202">
        <f>VLOOKUP(Table3[[#This Row],[Product Name]],Table4[#All],2,FALSE)</f>
        <v>13000</v>
      </c>
      <c r="U202">
        <f>IFERROR(Table3[[#This Row],[Standard Price ]]-Table1[[#This Row],[Price Difference]],"NA")</f>
        <v>10000</v>
      </c>
    </row>
    <row r="203" spans="1:21" x14ac:dyDescent="0.25">
      <c r="A203" t="s">
        <v>284</v>
      </c>
      <c r="B203" s="1">
        <v>45563</v>
      </c>
      <c r="C203" t="s">
        <v>274</v>
      </c>
      <c r="D203" t="s">
        <v>26</v>
      </c>
      <c r="E203" t="s">
        <v>57</v>
      </c>
      <c r="F203" t="s">
        <v>16</v>
      </c>
      <c r="G203">
        <v>5</v>
      </c>
      <c r="H203">
        <v>12000</v>
      </c>
      <c r="I203">
        <v>12000</v>
      </c>
      <c r="J203">
        <v>0</v>
      </c>
      <c r="K203">
        <f>IFERROR(Table1[[#This Row],[Quantity]]*Table1[[#This Row],[Transactional Unit Price]],"NA")</f>
        <v>60000</v>
      </c>
      <c r="L203">
        <f>IFERROR(Table1[[#This Row],[Standard Unit Price]]*Table1[[#This Row],[Quantity]],"NA")</f>
        <v>60000</v>
      </c>
      <c r="M203" t="s">
        <v>21</v>
      </c>
      <c r="N20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03" t="s">
        <v>26</v>
      </c>
      <c r="T203">
        <f>VLOOKUP(Table3[[#This Row],[Product Name]],Table4[#All],2,FALSE)</f>
        <v>12000</v>
      </c>
      <c r="U203">
        <f>IFERROR(Table3[[#This Row],[Standard Price ]]-Table1[[#This Row],[Price Difference]],"NA")</f>
        <v>12000</v>
      </c>
    </row>
    <row r="204" spans="1:21" x14ac:dyDescent="0.25">
      <c r="A204" t="s">
        <v>285</v>
      </c>
      <c r="B204" s="1">
        <v>45651</v>
      </c>
      <c r="C204" t="s">
        <v>63</v>
      </c>
      <c r="D204" t="s">
        <v>10</v>
      </c>
      <c r="E204" t="s">
        <v>19</v>
      </c>
      <c r="F204" t="s">
        <v>12</v>
      </c>
      <c r="G204" t="s">
        <v>337</v>
      </c>
      <c r="H204">
        <v>10000</v>
      </c>
      <c r="I204" t="s">
        <v>337</v>
      </c>
      <c r="J204" t="s">
        <v>337</v>
      </c>
      <c r="K204" t="str">
        <f>IFERROR(Table1[[#This Row],[Quantity]]*Table1[[#This Row],[Transactional Unit Price]],"NA")</f>
        <v>NA</v>
      </c>
      <c r="L204" t="str">
        <f>IFERROR(Table1[[#This Row],[Standard Unit Price]]*Table1[[#This Row],[Quantity]],"NA")</f>
        <v>NA</v>
      </c>
      <c r="M204" t="s">
        <v>13</v>
      </c>
      <c r="N20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04" t="s">
        <v>10</v>
      </c>
      <c r="T204">
        <f>VLOOKUP(Table3[[#This Row],[Product Name]],Table4[#All],2,FALSE)</f>
        <v>10000</v>
      </c>
      <c r="U204" t="str">
        <f>IFERROR(Table3[[#This Row],[Standard Price ]]-Table1[[#This Row],[Price Difference]],"NA")</f>
        <v>NA</v>
      </c>
    </row>
    <row r="205" spans="1:21" x14ac:dyDescent="0.25">
      <c r="A205" t="s">
        <v>286</v>
      </c>
      <c r="B205" s="1">
        <v>45523</v>
      </c>
      <c r="C205" t="s">
        <v>84</v>
      </c>
      <c r="D205" t="s">
        <v>30</v>
      </c>
      <c r="E205" t="s">
        <v>57</v>
      </c>
      <c r="F205" t="s">
        <v>31</v>
      </c>
      <c r="G205">
        <v>4</v>
      </c>
      <c r="H205">
        <v>9200</v>
      </c>
      <c r="I205">
        <v>12000</v>
      </c>
      <c r="J205">
        <v>-2800</v>
      </c>
      <c r="K205">
        <f>IFERROR(Table1[[#This Row],[Quantity]]*Table1[[#This Row],[Transactional Unit Price]],"NA")</f>
        <v>48000</v>
      </c>
      <c r="L205">
        <f>IFERROR(Table1[[#This Row],[Standard Unit Price]]*Table1[[#This Row],[Quantity]],"NA")</f>
        <v>36800</v>
      </c>
      <c r="M205" t="s">
        <v>21</v>
      </c>
      <c r="N20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205" t="s">
        <v>30</v>
      </c>
      <c r="T205">
        <f>VLOOKUP(Table3[[#This Row],[Product Name]],Table4[#All],2,FALSE)</f>
        <v>9200</v>
      </c>
      <c r="U205">
        <f>IFERROR(Table3[[#This Row],[Standard Price ]]-Table1[[#This Row],[Price Difference]],"NA")</f>
        <v>12000</v>
      </c>
    </row>
    <row r="206" spans="1:21" x14ac:dyDescent="0.25">
      <c r="A206" t="s">
        <v>287</v>
      </c>
      <c r="B206" s="1">
        <v>45340</v>
      </c>
      <c r="C206" t="s">
        <v>123</v>
      </c>
      <c r="D206" t="s">
        <v>26</v>
      </c>
      <c r="E206" t="s">
        <v>57</v>
      </c>
      <c r="F206" t="s">
        <v>31</v>
      </c>
      <c r="G206" t="s">
        <v>337</v>
      </c>
      <c r="H206">
        <v>12000</v>
      </c>
      <c r="I206">
        <v>10000</v>
      </c>
      <c r="J206">
        <v>2000</v>
      </c>
      <c r="K206" t="str">
        <f>IFERROR(Table1[[#This Row],[Quantity]]*Table1[[#This Row],[Transactional Unit Price]],"NA")</f>
        <v>NA</v>
      </c>
      <c r="L206" t="str">
        <f>IFERROR(Table1[[#This Row],[Standard Unit Price]]*Table1[[#This Row],[Quantity]],"NA")</f>
        <v>NA</v>
      </c>
      <c r="M206" t="s">
        <v>369</v>
      </c>
      <c r="N20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06" t="s">
        <v>26</v>
      </c>
      <c r="T206">
        <f>VLOOKUP(Table3[[#This Row],[Product Name]],Table4[#All],2,FALSE)</f>
        <v>12000</v>
      </c>
      <c r="U206">
        <f>IFERROR(Table3[[#This Row],[Standard Price ]]-Table1[[#This Row],[Price Difference]],"NA")</f>
        <v>10000</v>
      </c>
    </row>
    <row r="207" spans="1:21" x14ac:dyDescent="0.25">
      <c r="A207" t="s">
        <v>288</v>
      </c>
      <c r="B207" s="1">
        <v>45643</v>
      </c>
      <c r="C207" t="s">
        <v>29</v>
      </c>
      <c r="D207" t="s">
        <v>37</v>
      </c>
      <c r="E207" t="s">
        <v>11</v>
      </c>
      <c r="F207" t="s">
        <v>27</v>
      </c>
      <c r="G207">
        <v>1</v>
      </c>
      <c r="H207">
        <v>15000</v>
      </c>
      <c r="I207">
        <v>8500</v>
      </c>
      <c r="J207">
        <v>6500</v>
      </c>
      <c r="K207">
        <f>IFERROR(Table1[[#This Row],[Quantity]]*Table1[[#This Row],[Transactional Unit Price]],"NA")</f>
        <v>8500</v>
      </c>
      <c r="L207">
        <f>IFERROR(Table1[[#This Row],[Standard Unit Price]]*Table1[[#This Row],[Quantity]],"NA")</f>
        <v>15000</v>
      </c>
      <c r="M207" t="s">
        <v>21</v>
      </c>
      <c r="N20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07" t="s">
        <v>37</v>
      </c>
      <c r="T207">
        <f>VLOOKUP(Table3[[#This Row],[Product Name]],Table4[#All],2,FALSE)</f>
        <v>15000</v>
      </c>
      <c r="U207">
        <f>IFERROR(Table3[[#This Row],[Standard Price ]]-Table1[[#This Row],[Price Difference]],"NA")</f>
        <v>8500</v>
      </c>
    </row>
    <row r="208" spans="1:21" x14ac:dyDescent="0.25">
      <c r="A208" t="s">
        <v>289</v>
      </c>
      <c r="B208" s="1">
        <v>45482</v>
      </c>
      <c r="C208" t="s">
        <v>18</v>
      </c>
      <c r="D208" t="s">
        <v>26</v>
      </c>
      <c r="E208" t="s">
        <v>19</v>
      </c>
      <c r="F208" t="s">
        <v>16</v>
      </c>
      <c r="G208">
        <v>1</v>
      </c>
      <c r="H208">
        <v>12000</v>
      </c>
      <c r="I208" t="s">
        <v>337</v>
      </c>
      <c r="J208" t="s">
        <v>337</v>
      </c>
      <c r="K208" t="str">
        <f>IFERROR(Table1[[#This Row],[Quantity]]*Table1[[#This Row],[Transactional Unit Price]],"NA")</f>
        <v>NA</v>
      </c>
      <c r="L208">
        <f>IFERROR(Table1[[#This Row],[Standard Unit Price]]*Table1[[#This Row],[Quantity]],"NA")</f>
        <v>12000</v>
      </c>
      <c r="M208" t="s">
        <v>13</v>
      </c>
      <c r="N20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08" t="s">
        <v>26</v>
      </c>
      <c r="T208">
        <f>VLOOKUP(Table3[[#This Row],[Product Name]],Table4[#All],2,FALSE)</f>
        <v>12000</v>
      </c>
      <c r="U208" t="str">
        <f>IFERROR(Table3[[#This Row],[Standard Price ]]-Table1[[#This Row],[Price Difference]],"NA")</f>
        <v>NA</v>
      </c>
    </row>
    <row r="209" spans="1:21" x14ac:dyDescent="0.25">
      <c r="A209" t="s">
        <v>290</v>
      </c>
      <c r="B209" s="1">
        <v>45460</v>
      </c>
      <c r="C209" t="s">
        <v>198</v>
      </c>
      <c r="D209" t="s">
        <v>10</v>
      </c>
      <c r="E209" t="s">
        <v>11</v>
      </c>
      <c r="F209" t="s">
        <v>42</v>
      </c>
      <c r="G209">
        <v>3</v>
      </c>
      <c r="H209">
        <v>10000</v>
      </c>
      <c r="I209">
        <v>12000</v>
      </c>
      <c r="J209">
        <v>-2000</v>
      </c>
      <c r="K209">
        <f>IFERROR(Table1[[#This Row],[Quantity]]*Table1[[#This Row],[Transactional Unit Price]],"NA")</f>
        <v>36000</v>
      </c>
      <c r="L209">
        <f>IFERROR(Table1[[#This Row],[Standard Unit Price]]*Table1[[#This Row],[Quantity]],"NA")</f>
        <v>30000</v>
      </c>
      <c r="M209" t="s">
        <v>21</v>
      </c>
      <c r="N20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209" t="s">
        <v>10</v>
      </c>
      <c r="T209">
        <f>VLOOKUP(Table3[[#This Row],[Product Name]],Table4[#All],2,FALSE)</f>
        <v>10000</v>
      </c>
      <c r="U209">
        <f>IFERROR(Table3[[#This Row],[Standard Price ]]-Table1[[#This Row],[Price Difference]],"NA")</f>
        <v>12000</v>
      </c>
    </row>
    <row r="210" spans="1:21" x14ac:dyDescent="0.25">
      <c r="A210" t="s">
        <v>291</v>
      </c>
      <c r="B210" s="1">
        <v>45599</v>
      </c>
      <c r="C210" t="s">
        <v>123</v>
      </c>
      <c r="D210" t="s">
        <v>26</v>
      </c>
      <c r="E210" t="s">
        <v>34</v>
      </c>
      <c r="F210" t="s">
        <v>27</v>
      </c>
      <c r="G210">
        <v>5</v>
      </c>
      <c r="H210">
        <v>12000</v>
      </c>
      <c r="I210" t="s">
        <v>337</v>
      </c>
      <c r="J210" t="s">
        <v>337</v>
      </c>
      <c r="K210" t="str">
        <f>IFERROR(Table1[[#This Row],[Quantity]]*Table1[[#This Row],[Transactional Unit Price]],"NA")</f>
        <v>NA</v>
      </c>
      <c r="L210">
        <f>IFERROR(Table1[[#This Row],[Standard Unit Price]]*Table1[[#This Row],[Quantity]],"NA")</f>
        <v>60000</v>
      </c>
      <c r="M210" t="s">
        <v>13</v>
      </c>
      <c r="N21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10" t="s">
        <v>26</v>
      </c>
      <c r="T210">
        <f>VLOOKUP(Table3[[#This Row],[Product Name]],Table4[#All],2,FALSE)</f>
        <v>12000</v>
      </c>
      <c r="U210" t="str">
        <f>IFERROR(Table3[[#This Row],[Standard Price ]]-Table1[[#This Row],[Price Difference]],"NA")</f>
        <v>NA</v>
      </c>
    </row>
    <row r="211" spans="1:21" x14ac:dyDescent="0.25">
      <c r="A211" t="s">
        <v>292</v>
      </c>
      <c r="B211" s="1">
        <v>45628</v>
      </c>
      <c r="C211" t="s">
        <v>104</v>
      </c>
      <c r="D211" t="s">
        <v>37</v>
      </c>
      <c r="E211" t="s">
        <v>19</v>
      </c>
      <c r="F211" t="s">
        <v>27</v>
      </c>
      <c r="G211">
        <v>3</v>
      </c>
      <c r="H211">
        <v>15000</v>
      </c>
      <c r="I211" t="s">
        <v>337</v>
      </c>
      <c r="J211" t="s">
        <v>337</v>
      </c>
      <c r="K211" t="str">
        <f>IFERROR(Table1[[#This Row],[Quantity]]*Table1[[#This Row],[Transactional Unit Price]],"NA")</f>
        <v>NA</v>
      </c>
      <c r="L211">
        <f>IFERROR(Table1[[#This Row],[Standard Unit Price]]*Table1[[#This Row],[Quantity]],"NA")</f>
        <v>45000</v>
      </c>
      <c r="M211" t="s">
        <v>369</v>
      </c>
      <c r="N21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11" t="s">
        <v>37</v>
      </c>
      <c r="T211">
        <f>VLOOKUP(Table3[[#This Row],[Product Name]],Table4[#All],2,FALSE)</f>
        <v>15000</v>
      </c>
      <c r="U211" t="str">
        <f>IFERROR(Table3[[#This Row],[Standard Price ]]-Table1[[#This Row],[Price Difference]],"NA")</f>
        <v>NA</v>
      </c>
    </row>
    <row r="212" spans="1:21" x14ac:dyDescent="0.25">
      <c r="A212" t="s">
        <v>293</v>
      </c>
      <c r="B212" s="1">
        <v>45434</v>
      </c>
      <c r="C212" t="s">
        <v>61</v>
      </c>
      <c r="D212" t="s">
        <v>46</v>
      </c>
      <c r="E212" t="s">
        <v>19</v>
      </c>
      <c r="F212" t="s">
        <v>42</v>
      </c>
      <c r="G212">
        <v>5</v>
      </c>
      <c r="H212">
        <v>13000</v>
      </c>
      <c r="I212" t="s">
        <v>337</v>
      </c>
      <c r="J212" t="s">
        <v>337</v>
      </c>
      <c r="K212" t="str">
        <f>IFERROR(Table1[[#This Row],[Quantity]]*Table1[[#This Row],[Transactional Unit Price]],"NA")</f>
        <v>NA</v>
      </c>
      <c r="L212">
        <f>IFERROR(Table1[[#This Row],[Standard Unit Price]]*Table1[[#This Row],[Quantity]],"NA")</f>
        <v>65000</v>
      </c>
      <c r="M212" t="s">
        <v>13</v>
      </c>
      <c r="N21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12" t="s">
        <v>46</v>
      </c>
      <c r="T212">
        <f>VLOOKUP(Table3[[#This Row],[Product Name]],Table4[#All],2,FALSE)</f>
        <v>13000</v>
      </c>
      <c r="U212" t="str">
        <f>IFERROR(Table3[[#This Row],[Standard Price ]]-Table1[[#This Row],[Price Difference]],"NA")</f>
        <v>NA</v>
      </c>
    </row>
    <row r="213" spans="1:21" x14ac:dyDescent="0.25">
      <c r="A213" t="s">
        <v>294</v>
      </c>
      <c r="B213" s="1">
        <v>45621</v>
      </c>
      <c r="C213" t="s">
        <v>129</v>
      </c>
      <c r="D213" t="s">
        <v>46</v>
      </c>
      <c r="E213" t="s">
        <v>11</v>
      </c>
      <c r="F213" t="s">
        <v>16</v>
      </c>
      <c r="G213" t="s">
        <v>337</v>
      </c>
      <c r="H213">
        <v>13000</v>
      </c>
      <c r="I213">
        <v>10000</v>
      </c>
      <c r="J213">
        <v>3000</v>
      </c>
      <c r="K213" t="str">
        <f>IFERROR(Table1[[#This Row],[Quantity]]*Table1[[#This Row],[Transactional Unit Price]],"NA")</f>
        <v>NA</v>
      </c>
      <c r="L213" t="str">
        <f>IFERROR(Table1[[#This Row],[Standard Unit Price]]*Table1[[#This Row],[Quantity]],"NA")</f>
        <v>NA</v>
      </c>
      <c r="M213" t="s">
        <v>21</v>
      </c>
      <c r="N21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13" t="s">
        <v>46</v>
      </c>
      <c r="T213">
        <f>VLOOKUP(Table3[[#This Row],[Product Name]],Table4[#All],2,FALSE)</f>
        <v>13000</v>
      </c>
      <c r="U213">
        <f>IFERROR(Table3[[#This Row],[Standard Price ]]-Table1[[#This Row],[Price Difference]],"NA")</f>
        <v>10000</v>
      </c>
    </row>
    <row r="214" spans="1:21" x14ac:dyDescent="0.25">
      <c r="A214" t="s">
        <v>295</v>
      </c>
      <c r="B214" s="1">
        <v>45431</v>
      </c>
      <c r="C214" t="s">
        <v>129</v>
      </c>
      <c r="D214" t="s">
        <v>10</v>
      </c>
      <c r="E214" t="s">
        <v>19</v>
      </c>
      <c r="F214" t="s">
        <v>31</v>
      </c>
      <c r="G214">
        <v>3</v>
      </c>
      <c r="H214">
        <v>10000</v>
      </c>
      <c r="I214">
        <v>10000</v>
      </c>
      <c r="J214">
        <v>0</v>
      </c>
      <c r="K214">
        <f>IFERROR(Table1[[#This Row],[Quantity]]*Table1[[#This Row],[Transactional Unit Price]],"NA")</f>
        <v>30000</v>
      </c>
      <c r="L214">
        <f>IFERROR(Table1[[#This Row],[Standard Unit Price]]*Table1[[#This Row],[Quantity]],"NA")</f>
        <v>30000</v>
      </c>
      <c r="M214" t="s">
        <v>21</v>
      </c>
      <c r="N21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14" t="s">
        <v>10</v>
      </c>
      <c r="T214">
        <f>VLOOKUP(Table3[[#This Row],[Product Name]],Table4[#All],2,FALSE)</f>
        <v>10000</v>
      </c>
      <c r="U214">
        <f>IFERROR(Table3[[#This Row],[Standard Price ]]-Table1[[#This Row],[Price Difference]],"NA")</f>
        <v>10000</v>
      </c>
    </row>
    <row r="215" spans="1:21" x14ac:dyDescent="0.25">
      <c r="A215" t="s">
        <v>296</v>
      </c>
      <c r="B215" s="1">
        <v>45365</v>
      </c>
      <c r="C215" t="s">
        <v>39</v>
      </c>
      <c r="D215" t="s">
        <v>46</v>
      </c>
      <c r="E215" t="s">
        <v>11</v>
      </c>
      <c r="F215" t="s">
        <v>42</v>
      </c>
      <c r="G215">
        <v>1</v>
      </c>
      <c r="H215">
        <v>13000</v>
      </c>
      <c r="I215">
        <v>9200</v>
      </c>
      <c r="J215">
        <v>3800</v>
      </c>
      <c r="K215">
        <f>IFERROR(Table1[[#This Row],[Quantity]]*Table1[[#This Row],[Transactional Unit Price]],"NA")</f>
        <v>9200</v>
      </c>
      <c r="L215">
        <f>IFERROR(Table1[[#This Row],[Standard Unit Price]]*Table1[[#This Row],[Quantity]],"NA")</f>
        <v>13000</v>
      </c>
      <c r="M215" t="s">
        <v>21</v>
      </c>
      <c r="N21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15" t="s">
        <v>46</v>
      </c>
      <c r="T215">
        <f>VLOOKUP(Table3[[#This Row],[Product Name]],Table4[#All],2,FALSE)</f>
        <v>13000</v>
      </c>
      <c r="U215">
        <f>IFERROR(Table3[[#This Row],[Standard Price ]]-Table1[[#This Row],[Price Difference]],"NA")</f>
        <v>9200</v>
      </c>
    </row>
    <row r="216" spans="1:21" x14ac:dyDescent="0.25">
      <c r="A216" t="s">
        <v>297</v>
      </c>
      <c r="B216" s="1">
        <v>45563</v>
      </c>
      <c r="C216" t="s">
        <v>112</v>
      </c>
      <c r="D216" t="s">
        <v>30</v>
      </c>
      <c r="E216" t="s">
        <v>57</v>
      </c>
      <c r="F216" t="s">
        <v>42</v>
      </c>
      <c r="G216">
        <v>4</v>
      </c>
      <c r="H216">
        <v>9200</v>
      </c>
      <c r="I216">
        <v>10000</v>
      </c>
      <c r="J216">
        <v>-800</v>
      </c>
      <c r="K216">
        <f>IFERROR(Table1[[#This Row],[Quantity]]*Table1[[#This Row],[Transactional Unit Price]],"NA")</f>
        <v>40000</v>
      </c>
      <c r="L216">
        <f>IFERROR(Table1[[#This Row],[Standard Unit Price]]*Table1[[#This Row],[Quantity]],"NA")</f>
        <v>36800</v>
      </c>
      <c r="M216" t="s">
        <v>13</v>
      </c>
      <c r="N21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216" t="s">
        <v>30</v>
      </c>
      <c r="T216">
        <f>VLOOKUP(Table3[[#This Row],[Product Name]],Table4[#All],2,FALSE)</f>
        <v>9200</v>
      </c>
      <c r="U216">
        <f>IFERROR(Table3[[#This Row],[Standard Price ]]-Table1[[#This Row],[Price Difference]],"NA")</f>
        <v>10000</v>
      </c>
    </row>
    <row r="217" spans="1:21" x14ac:dyDescent="0.25">
      <c r="A217" t="s">
        <v>298</v>
      </c>
      <c r="B217" s="1">
        <v>45451</v>
      </c>
      <c r="C217" t="s">
        <v>123</v>
      </c>
      <c r="D217" t="s">
        <v>10</v>
      </c>
      <c r="E217" t="s">
        <v>34</v>
      </c>
      <c r="F217" t="s">
        <v>16</v>
      </c>
      <c r="G217">
        <v>5</v>
      </c>
      <c r="H217">
        <v>10000</v>
      </c>
      <c r="I217">
        <v>8500</v>
      </c>
      <c r="J217">
        <v>1500</v>
      </c>
      <c r="K217">
        <f>IFERROR(Table1[[#This Row],[Quantity]]*Table1[[#This Row],[Transactional Unit Price]],"NA")</f>
        <v>42500</v>
      </c>
      <c r="L217">
        <f>IFERROR(Table1[[#This Row],[Standard Unit Price]]*Table1[[#This Row],[Quantity]],"NA")</f>
        <v>50000</v>
      </c>
      <c r="M217" t="s">
        <v>21</v>
      </c>
      <c r="N21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17" t="s">
        <v>10</v>
      </c>
      <c r="T217">
        <f>VLOOKUP(Table3[[#This Row],[Product Name]],Table4[#All],2,FALSE)</f>
        <v>10000</v>
      </c>
      <c r="U217">
        <f>IFERROR(Table3[[#This Row],[Standard Price ]]-Table1[[#This Row],[Price Difference]],"NA")</f>
        <v>8500</v>
      </c>
    </row>
    <row r="218" spans="1:21" x14ac:dyDescent="0.25">
      <c r="A218" t="s">
        <v>299</v>
      </c>
      <c r="B218" s="1">
        <v>45372</v>
      </c>
      <c r="C218" t="s">
        <v>23</v>
      </c>
      <c r="D218" t="s">
        <v>26</v>
      </c>
      <c r="E218" t="s">
        <v>49</v>
      </c>
      <c r="F218" t="s">
        <v>27</v>
      </c>
      <c r="G218" t="s">
        <v>337</v>
      </c>
      <c r="H218">
        <v>12000</v>
      </c>
      <c r="I218">
        <v>8500</v>
      </c>
      <c r="J218">
        <v>3500</v>
      </c>
      <c r="K218" t="str">
        <f>IFERROR(Table1[[#This Row],[Quantity]]*Table1[[#This Row],[Transactional Unit Price]],"NA")</f>
        <v>NA</v>
      </c>
      <c r="L218" t="str">
        <f>IFERROR(Table1[[#This Row],[Standard Unit Price]]*Table1[[#This Row],[Quantity]],"NA")</f>
        <v>NA</v>
      </c>
      <c r="M218" t="s">
        <v>369</v>
      </c>
      <c r="N21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18" t="s">
        <v>26</v>
      </c>
      <c r="T218">
        <f>VLOOKUP(Table3[[#This Row],[Product Name]],Table4[#All],2,FALSE)</f>
        <v>12000</v>
      </c>
      <c r="U218">
        <f>IFERROR(Table3[[#This Row],[Standard Price ]]-Table1[[#This Row],[Price Difference]],"NA")</f>
        <v>8500</v>
      </c>
    </row>
    <row r="219" spans="1:21" x14ac:dyDescent="0.25">
      <c r="A219" t="s">
        <v>300</v>
      </c>
      <c r="B219" s="1">
        <v>45630</v>
      </c>
      <c r="C219" t="s">
        <v>125</v>
      </c>
      <c r="D219" t="s">
        <v>37</v>
      </c>
      <c r="E219" t="s">
        <v>57</v>
      </c>
      <c r="F219" t="s">
        <v>16</v>
      </c>
      <c r="G219">
        <v>4</v>
      </c>
      <c r="H219">
        <v>15000</v>
      </c>
      <c r="I219">
        <v>12000</v>
      </c>
      <c r="J219">
        <v>3000</v>
      </c>
      <c r="K219">
        <f>IFERROR(Table1[[#This Row],[Quantity]]*Table1[[#This Row],[Transactional Unit Price]],"NA")</f>
        <v>48000</v>
      </c>
      <c r="L219">
        <f>IFERROR(Table1[[#This Row],[Standard Unit Price]]*Table1[[#This Row],[Quantity]],"NA")</f>
        <v>60000</v>
      </c>
      <c r="M219" t="s">
        <v>369</v>
      </c>
      <c r="N21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19" t="s">
        <v>37</v>
      </c>
      <c r="T219">
        <f>VLOOKUP(Table3[[#This Row],[Product Name]],Table4[#All],2,FALSE)</f>
        <v>15000</v>
      </c>
      <c r="U219">
        <f>IFERROR(Table3[[#This Row],[Standard Price ]]-Table1[[#This Row],[Price Difference]],"NA")</f>
        <v>12000</v>
      </c>
    </row>
    <row r="220" spans="1:21" x14ac:dyDescent="0.25">
      <c r="A220" t="s">
        <v>301</v>
      </c>
      <c r="B220" s="1">
        <v>45554</v>
      </c>
      <c r="C220" t="s">
        <v>150</v>
      </c>
      <c r="D220" t="s">
        <v>10</v>
      </c>
      <c r="E220" t="s">
        <v>34</v>
      </c>
      <c r="F220" t="s">
        <v>42</v>
      </c>
      <c r="G220">
        <v>1</v>
      </c>
      <c r="H220">
        <v>10000</v>
      </c>
      <c r="I220">
        <v>10000</v>
      </c>
      <c r="J220">
        <v>0</v>
      </c>
      <c r="K220">
        <f>IFERROR(Table1[[#This Row],[Quantity]]*Table1[[#This Row],[Transactional Unit Price]],"NA")</f>
        <v>10000</v>
      </c>
      <c r="L220">
        <f>IFERROR(Table1[[#This Row],[Standard Unit Price]]*Table1[[#This Row],[Quantity]],"NA")</f>
        <v>10000</v>
      </c>
      <c r="M220" t="s">
        <v>13</v>
      </c>
      <c r="N22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20" t="s">
        <v>10</v>
      </c>
      <c r="T220">
        <f>VLOOKUP(Table3[[#This Row],[Product Name]],Table4[#All],2,FALSE)</f>
        <v>10000</v>
      </c>
      <c r="U220">
        <f>IFERROR(Table3[[#This Row],[Standard Price ]]-Table1[[#This Row],[Price Difference]],"NA")</f>
        <v>10000</v>
      </c>
    </row>
    <row r="221" spans="1:21" x14ac:dyDescent="0.25">
      <c r="A221" t="s">
        <v>302</v>
      </c>
      <c r="B221" s="1">
        <v>45561</v>
      </c>
      <c r="C221" t="s">
        <v>71</v>
      </c>
      <c r="D221" t="s">
        <v>10</v>
      </c>
      <c r="E221" t="s">
        <v>34</v>
      </c>
      <c r="F221" t="s">
        <v>27</v>
      </c>
      <c r="G221">
        <v>2</v>
      </c>
      <c r="H221">
        <v>10000</v>
      </c>
      <c r="I221">
        <v>12000</v>
      </c>
      <c r="J221">
        <v>-2000</v>
      </c>
      <c r="K221">
        <f>IFERROR(Table1[[#This Row],[Quantity]]*Table1[[#This Row],[Transactional Unit Price]],"NA")</f>
        <v>24000</v>
      </c>
      <c r="L221">
        <f>IFERROR(Table1[[#This Row],[Standard Unit Price]]*Table1[[#This Row],[Quantity]],"NA")</f>
        <v>20000</v>
      </c>
      <c r="M221" t="s">
        <v>13</v>
      </c>
      <c r="N22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221" t="s">
        <v>10</v>
      </c>
      <c r="T221">
        <f>VLOOKUP(Table3[[#This Row],[Product Name]],Table4[#All],2,FALSE)</f>
        <v>10000</v>
      </c>
      <c r="U221">
        <f>IFERROR(Table3[[#This Row],[Standard Price ]]-Table1[[#This Row],[Price Difference]],"NA")</f>
        <v>12000</v>
      </c>
    </row>
    <row r="222" spans="1:21" x14ac:dyDescent="0.25">
      <c r="A222" t="s">
        <v>303</v>
      </c>
      <c r="B222" s="1">
        <v>45295</v>
      </c>
      <c r="C222" t="s">
        <v>109</v>
      </c>
      <c r="D222" t="s">
        <v>30</v>
      </c>
      <c r="E222" t="s">
        <v>34</v>
      </c>
      <c r="F222" t="s">
        <v>20</v>
      </c>
      <c r="G222">
        <v>2</v>
      </c>
      <c r="H222">
        <v>9200</v>
      </c>
      <c r="I222">
        <v>10000</v>
      </c>
      <c r="J222">
        <v>-800</v>
      </c>
      <c r="K222">
        <f>IFERROR(Table1[[#This Row],[Quantity]]*Table1[[#This Row],[Transactional Unit Price]],"NA")</f>
        <v>20000</v>
      </c>
      <c r="L222">
        <f>IFERROR(Table1[[#This Row],[Standard Unit Price]]*Table1[[#This Row],[Quantity]],"NA")</f>
        <v>18400</v>
      </c>
      <c r="M222" t="s">
        <v>369</v>
      </c>
      <c r="N22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222" t="s">
        <v>30</v>
      </c>
      <c r="T222">
        <f>VLOOKUP(Table3[[#This Row],[Product Name]],Table4[#All],2,FALSE)</f>
        <v>9200</v>
      </c>
      <c r="U222">
        <f>IFERROR(Table3[[#This Row],[Standard Price ]]-Table1[[#This Row],[Price Difference]],"NA")</f>
        <v>10000</v>
      </c>
    </row>
    <row r="223" spans="1:21" x14ac:dyDescent="0.25">
      <c r="A223" t="s">
        <v>304</v>
      </c>
      <c r="B223" s="1">
        <v>45353</v>
      </c>
      <c r="C223" t="s">
        <v>59</v>
      </c>
      <c r="D223" t="s">
        <v>10</v>
      </c>
      <c r="E223" t="s">
        <v>57</v>
      </c>
      <c r="F223" t="s">
        <v>12</v>
      </c>
      <c r="G223">
        <v>4</v>
      </c>
      <c r="H223">
        <v>10000</v>
      </c>
      <c r="I223">
        <v>9200</v>
      </c>
      <c r="J223">
        <v>800</v>
      </c>
      <c r="K223">
        <f>IFERROR(Table1[[#This Row],[Quantity]]*Table1[[#This Row],[Transactional Unit Price]],"NA")</f>
        <v>36800</v>
      </c>
      <c r="L223">
        <f>IFERROR(Table1[[#This Row],[Standard Unit Price]]*Table1[[#This Row],[Quantity]],"NA")</f>
        <v>40000</v>
      </c>
      <c r="M223" t="s">
        <v>13</v>
      </c>
      <c r="N22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23" t="s">
        <v>10</v>
      </c>
      <c r="T223">
        <f>VLOOKUP(Table3[[#This Row],[Product Name]],Table4[#All],2,FALSE)</f>
        <v>10000</v>
      </c>
      <c r="U223">
        <f>IFERROR(Table3[[#This Row],[Standard Price ]]-Table1[[#This Row],[Price Difference]],"NA")</f>
        <v>9200</v>
      </c>
    </row>
    <row r="224" spans="1:21" x14ac:dyDescent="0.25">
      <c r="A224" t="s">
        <v>305</v>
      </c>
      <c r="B224" s="1">
        <v>45564</v>
      </c>
      <c r="C224" t="s">
        <v>134</v>
      </c>
      <c r="D224" t="s">
        <v>10</v>
      </c>
      <c r="E224" t="s">
        <v>19</v>
      </c>
      <c r="F224" t="s">
        <v>16</v>
      </c>
      <c r="G224">
        <v>5</v>
      </c>
      <c r="H224">
        <v>10000</v>
      </c>
      <c r="I224">
        <v>10000</v>
      </c>
      <c r="J224">
        <v>0</v>
      </c>
      <c r="K224">
        <f>IFERROR(Table1[[#This Row],[Quantity]]*Table1[[#This Row],[Transactional Unit Price]],"NA")</f>
        <v>50000</v>
      </c>
      <c r="L224">
        <f>IFERROR(Table1[[#This Row],[Standard Unit Price]]*Table1[[#This Row],[Quantity]],"NA")</f>
        <v>50000</v>
      </c>
      <c r="M224" t="s">
        <v>21</v>
      </c>
      <c r="N22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24" t="s">
        <v>10</v>
      </c>
      <c r="T224">
        <f>VLOOKUP(Table3[[#This Row],[Product Name]],Table4[#All],2,FALSE)</f>
        <v>10000</v>
      </c>
      <c r="U224">
        <f>IFERROR(Table3[[#This Row],[Standard Price ]]-Table1[[#This Row],[Price Difference]],"NA")</f>
        <v>10000</v>
      </c>
    </row>
    <row r="225" spans="1:21" x14ac:dyDescent="0.25">
      <c r="A225" t="s">
        <v>306</v>
      </c>
      <c r="B225" s="1">
        <v>45313</v>
      </c>
      <c r="C225" t="s">
        <v>63</v>
      </c>
      <c r="D225" t="s">
        <v>37</v>
      </c>
      <c r="E225" t="s">
        <v>11</v>
      </c>
      <c r="F225" t="s">
        <v>42</v>
      </c>
      <c r="G225">
        <v>1</v>
      </c>
      <c r="H225">
        <v>15000</v>
      </c>
      <c r="I225">
        <v>10000</v>
      </c>
      <c r="J225">
        <v>5000</v>
      </c>
      <c r="K225">
        <f>IFERROR(Table1[[#This Row],[Quantity]]*Table1[[#This Row],[Transactional Unit Price]],"NA")</f>
        <v>10000</v>
      </c>
      <c r="L225">
        <f>IFERROR(Table1[[#This Row],[Standard Unit Price]]*Table1[[#This Row],[Quantity]],"NA")</f>
        <v>15000</v>
      </c>
      <c r="M225" t="s">
        <v>13</v>
      </c>
      <c r="N22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25" t="s">
        <v>37</v>
      </c>
      <c r="T225">
        <f>VLOOKUP(Table3[[#This Row],[Product Name]],Table4[#All],2,FALSE)</f>
        <v>15000</v>
      </c>
      <c r="U225">
        <f>IFERROR(Table3[[#This Row],[Standard Price ]]-Table1[[#This Row],[Price Difference]],"NA")</f>
        <v>10000</v>
      </c>
    </row>
    <row r="226" spans="1:21" x14ac:dyDescent="0.25">
      <c r="A226" t="s">
        <v>307</v>
      </c>
      <c r="B226" s="1">
        <v>45585</v>
      </c>
      <c r="C226" t="s">
        <v>134</v>
      </c>
      <c r="D226" t="s">
        <v>37</v>
      </c>
      <c r="E226" t="s">
        <v>11</v>
      </c>
      <c r="F226" t="s">
        <v>12</v>
      </c>
      <c r="G226">
        <v>4</v>
      </c>
      <c r="H226">
        <v>15000</v>
      </c>
      <c r="I226">
        <v>10000</v>
      </c>
      <c r="J226">
        <v>5000</v>
      </c>
      <c r="K226">
        <f>IFERROR(Table1[[#This Row],[Quantity]]*Table1[[#This Row],[Transactional Unit Price]],"NA")</f>
        <v>40000</v>
      </c>
      <c r="L226">
        <f>IFERROR(Table1[[#This Row],[Standard Unit Price]]*Table1[[#This Row],[Quantity]],"NA")</f>
        <v>60000</v>
      </c>
      <c r="M226" t="s">
        <v>21</v>
      </c>
      <c r="N22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26" t="s">
        <v>37</v>
      </c>
      <c r="T226">
        <f>VLOOKUP(Table3[[#This Row],[Product Name]],Table4[#All],2,FALSE)</f>
        <v>15000</v>
      </c>
      <c r="U226">
        <f>IFERROR(Table3[[#This Row],[Standard Price ]]-Table1[[#This Row],[Price Difference]],"NA")</f>
        <v>10000</v>
      </c>
    </row>
    <row r="227" spans="1:21" x14ac:dyDescent="0.25">
      <c r="A227" t="s">
        <v>308</v>
      </c>
      <c r="B227" s="1">
        <v>45302</v>
      </c>
      <c r="C227" t="s">
        <v>63</v>
      </c>
      <c r="D227" t="s">
        <v>26</v>
      </c>
      <c r="E227" t="s">
        <v>19</v>
      </c>
      <c r="F227" t="s">
        <v>16</v>
      </c>
      <c r="G227">
        <v>4</v>
      </c>
      <c r="H227">
        <v>12000</v>
      </c>
      <c r="I227">
        <v>10000</v>
      </c>
      <c r="J227">
        <v>2000</v>
      </c>
      <c r="K227">
        <f>IFERROR(Table1[[#This Row],[Quantity]]*Table1[[#This Row],[Transactional Unit Price]],"NA")</f>
        <v>40000</v>
      </c>
      <c r="L227">
        <f>IFERROR(Table1[[#This Row],[Standard Unit Price]]*Table1[[#This Row],[Quantity]],"NA")</f>
        <v>48000</v>
      </c>
      <c r="M227" t="s">
        <v>21</v>
      </c>
      <c r="N22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27" t="s">
        <v>26</v>
      </c>
      <c r="T227">
        <f>VLOOKUP(Table3[[#This Row],[Product Name]],Table4[#All],2,FALSE)</f>
        <v>12000</v>
      </c>
      <c r="U227">
        <f>IFERROR(Table3[[#This Row],[Standard Price ]]-Table1[[#This Row],[Price Difference]],"NA")</f>
        <v>10000</v>
      </c>
    </row>
    <row r="228" spans="1:21" x14ac:dyDescent="0.25">
      <c r="A228" t="s">
        <v>309</v>
      </c>
      <c r="B228" s="1">
        <v>45346</v>
      </c>
      <c r="C228" t="s">
        <v>134</v>
      </c>
      <c r="D228" t="s">
        <v>30</v>
      </c>
      <c r="E228" t="s">
        <v>57</v>
      </c>
      <c r="F228" t="s">
        <v>16</v>
      </c>
      <c r="G228">
        <v>4</v>
      </c>
      <c r="H228">
        <v>9200</v>
      </c>
      <c r="I228" t="s">
        <v>337</v>
      </c>
      <c r="J228" t="s">
        <v>337</v>
      </c>
      <c r="K228" t="str">
        <f>IFERROR(Table1[[#This Row],[Quantity]]*Table1[[#This Row],[Transactional Unit Price]],"NA")</f>
        <v>NA</v>
      </c>
      <c r="L228">
        <f>IFERROR(Table1[[#This Row],[Standard Unit Price]]*Table1[[#This Row],[Quantity]],"NA")</f>
        <v>36800</v>
      </c>
      <c r="M228" t="s">
        <v>21</v>
      </c>
      <c r="N22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28" t="s">
        <v>30</v>
      </c>
      <c r="T228">
        <f>VLOOKUP(Table3[[#This Row],[Product Name]],Table4[#All],2,FALSE)</f>
        <v>9200</v>
      </c>
      <c r="U228" t="str">
        <f>IFERROR(Table3[[#This Row],[Standard Price ]]-Table1[[#This Row],[Price Difference]],"NA")</f>
        <v>NA</v>
      </c>
    </row>
    <row r="229" spans="1:21" x14ac:dyDescent="0.25">
      <c r="A229" t="s">
        <v>310</v>
      </c>
      <c r="B229" s="1">
        <v>45450</v>
      </c>
      <c r="C229" t="s">
        <v>82</v>
      </c>
      <c r="D229" t="s">
        <v>10</v>
      </c>
      <c r="E229" t="s">
        <v>34</v>
      </c>
      <c r="F229" t="s">
        <v>20</v>
      </c>
      <c r="G229">
        <v>3</v>
      </c>
      <c r="H229">
        <v>10000</v>
      </c>
      <c r="I229">
        <v>9200</v>
      </c>
      <c r="J229">
        <v>800</v>
      </c>
      <c r="K229">
        <f>IFERROR(Table1[[#This Row],[Quantity]]*Table1[[#This Row],[Transactional Unit Price]],"NA")</f>
        <v>27600</v>
      </c>
      <c r="L229">
        <f>IFERROR(Table1[[#This Row],[Standard Unit Price]]*Table1[[#This Row],[Quantity]],"NA")</f>
        <v>30000</v>
      </c>
      <c r="M229" t="s">
        <v>21</v>
      </c>
      <c r="N22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29" t="s">
        <v>10</v>
      </c>
      <c r="T229">
        <f>VLOOKUP(Table3[[#This Row],[Product Name]],Table4[#All],2,FALSE)</f>
        <v>10000</v>
      </c>
      <c r="U229">
        <f>IFERROR(Table3[[#This Row],[Standard Price ]]-Table1[[#This Row],[Price Difference]],"NA")</f>
        <v>9200</v>
      </c>
    </row>
    <row r="230" spans="1:21" x14ac:dyDescent="0.25">
      <c r="A230" t="s">
        <v>311</v>
      </c>
      <c r="B230" s="1">
        <v>45616</v>
      </c>
      <c r="C230" t="s">
        <v>84</v>
      </c>
      <c r="D230" t="s">
        <v>10</v>
      </c>
      <c r="E230" t="s">
        <v>49</v>
      </c>
      <c r="F230" t="s">
        <v>16</v>
      </c>
      <c r="G230">
        <v>2</v>
      </c>
      <c r="H230">
        <v>10000</v>
      </c>
      <c r="I230">
        <v>10000</v>
      </c>
      <c r="J230">
        <v>0</v>
      </c>
      <c r="K230">
        <f>IFERROR(Table1[[#This Row],[Quantity]]*Table1[[#This Row],[Transactional Unit Price]],"NA")</f>
        <v>20000</v>
      </c>
      <c r="L230">
        <f>IFERROR(Table1[[#This Row],[Standard Unit Price]]*Table1[[#This Row],[Quantity]],"NA")</f>
        <v>20000</v>
      </c>
      <c r="M230" t="s">
        <v>369</v>
      </c>
      <c r="N23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30" t="s">
        <v>10</v>
      </c>
      <c r="T230">
        <f>VLOOKUP(Table3[[#This Row],[Product Name]],Table4[#All],2,FALSE)</f>
        <v>10000</v>
      </c>
      <c r="U230">
        <f>IFERROR(Table3[[#This Row],[Standard Price ]]-Table1[[#This Row],[Price Difference]],"NA")</f>
        <v>10000</v>
      </c>
    </row>
    <row r="231" spans="1:21" x14ac:dyDescent="0.25">
      <c r="A231" t="s">
        <v>312</v>
      </c>
      <c r="B231" s="1">
        <v>45622</v>
      </c>
      <c r="C231" t="s">
        <v>67</v>
      </c>
      <c r="D231" t="s">
        <v>26</v>
      </c>
      <c r="E231" t="s">
        <v>19</v>
      </c>
      <c r="F231" t="s">
        <v>20</v>
      </c>
      <c r="G231">
        <v>1</v>
      </c>
      <c r="H231">
        <v>12000</v>
      </c>
      <c r="I231">
        <v>9200</v>
      </c>
      <c r="J231">
        <v>2800</v>
      </c>
      <c r="K231">
        <f>IFERROR(Table1[[#This Row],[Quantity]]*Table1[[#This Row],[Transactional Unit Price]],"NA")</f>
        <v>9200</v>
      </c>
      <c r="L231">
        <f>IFERROR(Table1[[#This Row],[Standard Unit Price]]*Table1[[#This Row],[Quantity]],"NA")</f>
        <v>12000</v>
      </c>
      <c r="M231" t="s">
        <v>369</v>
      </c>
      <c r="N23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31" t="s">
        <v>26</v>
      </c>
      <c r="T231">
        <f>VLOOKUP(Table3[[#This Row],[Product Name]],Table4[#All],2,FALSE)</f>
        <v>12000</v>
      </c>
      <c r="U231">
        <f>IFERROR(Table3[[#This Row],[Standard Price ]]-Table1[[#This Row],[Price Difference]],"NA")</f>
        <v>9200</v>
      </c>
    </row>
    <row r="232" spans="1:21" x14ac:dyDescent="0.25">
      <c r="A232" t="s">
        <v>313</v>
      </c>
      <c r="B232" s="1">
        <v>45380</v>
      </c>
      <c r="C232" t="s">
        <v>225</v>
      </c>
      <c r="D232" t="s">
        <v>46</v>
      </c>
      <c r="E232" t="s">
        <v>19</v>
      </c>
      <c r="F232" t="s">
        <v>12</v>
      </c>
      <c r="G232">
        <v>1</v>
      </c>
      <c r="H232">
        <v>13000</v>
      </c>
      <c r="I232">
        <v>9200</v>
      </c>
      <c r="J232">
        <v>3800</v>
      </c>
      <c r="K232">
        <f>IFERROR(Table1[[#This Row],[Quantity]]*Table1[[#This Row],[Transactional Unit Price]],"NA")</f>
        <v>9200</v>
      </c>
      <c r="L232">
        <f>IFERROR(Table1[[#This Row],[Standard Unit Price]]*Table1[[#This Row],[Quantity]],"NA")</f>
        <v>13000</v>
      </c>
      <c r="M232" t="s">
        <v>21</v>
      </c>
      <c r="N23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32" t="s">
        <v>46</v>
      </c>
      <c r="T232">
        <f>VLOOKUP(Table3[[#This Row],[Product Name]],Table4[#All],2,FALSE)</f>
        <v>13000</v>
      </c>
      <c r="U232">
        <f>IFERROR(Table3[[#This Row],[Standard Price ]]-Table1[[#This Row],[Price Difference]],"NA")</f>
        <v>9200</v>
      </c>
    </row>
    <row r="233" spans="1:21" x14ac:dyDescent="0.25">
      <c r="A233" t="s">
        <v>314</v>
      </c>
      <c r="B233" s="1">
        <v>45580</v>
      </c>
      <c r="C233" t="s">
        <v>109</v>
      </c>
      <c r="D233" t="s">
        <v>26</v>
      </c>
      <c r="E233" t="s">
        <v>49</v>
      </c>
      <c r="F233" t="s">
        <v>42</v>
      </c>
      <c r="G233" t="s">
        <v>337</v>
      </c>
      <c r="H233">
        <v>12000</v>
      </c>
      <c r="I233" t="s">
        <v>337</v>
      </c>
      <c r="J233" t="s">
        <v>337</v>
      </c>
      <c r="K233" t="str">
        <f>IFERROR(Table1[[#This Row],[Quantity]]*Table1[[#This Row],[Transactional Unit Price]],"NA")</f>
        <v>NA</v>
      </c>
      <c r="L233" t="str">
        <f>IFERROR(Table1[[#This Row],[Standard Unit Price]]*Table1[[#This Row],[Quantity]],"NA")</f>
        <v>NA</v>
      </c>
      <c r="M233" t="s">
        <v>13</v>
      </c>
      <c r="N23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33" t="s">
        <v>26</v>
      </c>
      <c r="T233">
        <f>VLOOKUP(Table3[[#This Row],[Product Name]],Table4[#All],2,FALSE)</f>
        <v>12000</v>
      </c>
      <c r="U233" t="str">
        <f>IFERROR(Table3[[#This Row],[Standard Price ]]-Table1[[#This Row],[Price Difference]],"NA")</f>
        <v>NA</v>
      </c>
    </row>
    <row r="234" spans="1:21" x14ac:dyDescent="0.25">
      <c r="A234" t="s">
        <v>315</v>
      </c>
      <c r="B234" s="1">
        <v>45613</v>
      </c>
      <c r="C234" t="s">
        <v>44</v>
      </c>
      <c r="D234" t="s">
        <v>26</v>
      </c>
      <c r="E234" t="s">
        <v>19</v>
      </c>
      <c r="F234" t="s">
        <v>42</v>
      </c>
      <c r="G234">
        <v>1</v>
      </c>
      <c r="H234">
        <v>12000</v>
      </c>
      <c r="I234">
        <v>12000</v>
      </c>
      <c r="J234">
        <v>0</v>
      </c>
      <c r="K234">
        <f>IFERROR(Table1[[#This Row],[Quantity]]*Table1[[#This Row],[Transactional Unit Price]],"NA")</f>
        <v>12000</v>
      </c>
      <c r="L234">
        <f>IFERROR(Table1[[#This Row],[Standard Unit Price]]*Table1[[#This Row],[Quantity]],"NA")</f>
        <v>12000</v>
      </c>
      <c r="M234" t="s">
        <v>21</v>
      </c>
      <c r="N23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34" t="s">
        <v>26</v>
      </c>
      <c r="T234">
        <f>VLOOKUP(Table3[[#This Row],[Product Name]],Table4[#All],2,FALSE)</f>
        <v>12000</v>
      </c>
      <c r="U234">
        <f>IFERROR(Table3[[#This Row],[Standard Price ]]-Table1[[#This Row],[Price Difference]],"NA")</f>
        <v>12000</v>
      </c>
    </row>
    <row r="235" spans="1:21" x14ac:dyDescent="0.25">
      <c r="A235" t="s">
        <v>316</v>
      </c>
      <c r="B235" s="1">
        <v>45447</v>
      </c>
      <c r="C235" t="s">
        <v>121</v>
      </c>
      <c r="D235" t="s">
        <v>26</v>
      </c>
      <c r="E235" t="s">
        <v>34</v>
      </c>
      <c r="F235" t="s">
        <v>16</v>
      </c>
      <c r="G235">
        <v>1</v>
      </c>
      <c r="H235">
        <v>12000</v>
      </c>
      <c r="I235">
        <v>10000</v>
      </c>
      <c r="J235">
        <v>2000</v>
      </c>
      <c r="K235">
        <f>IFERROR(Table1[[#This Row],[Quantity]]*Table1[[#This Row],[Transactional Unit Price]],"NA")</f>
        <v>10000</v>
      </c>
      <c r="L235">
        <f>IFERROR(Table1[[#This Row],[Standard Unit Price]]*Table1[[#This Row],[Quantity]],"NA")</f>
        <v>12000</v>
      </c>
      <c r="M235" t="s">
        <v>13</v>
      </c>
      <c r="N23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35" t="s">
        <v>26</v>
      </c>
      <c r="T235">
        <f>VLOOKUP(Table3[[#This Row],[Product Name]],Table4[#All],2,FALSE)</f>
        <v>12000</v>
      </c>
      <c r="U235">
        <f>IFERROR(Table3[[#This Row],[Standard Price ]]-Table1[[#This Row],[Price Difference]],"NA")</f>
        <v>10000</v>
      </c>
    </row>
    <row r="236" spans="1:21" x14ac:dyDescent="0.25">
      <c r="A236" t="s">
        <v>317</v>
      </c>
      <c r="B236" s="1">
        <v>45450</v>
      </c>
      <c r="C236" t="s">
        <v>121</v>
      </c>
      <c r="D236" t="s">
        <v>37</v>
      </c>
      <c r="E236" t="s">
        <v>57</v>
      </c>
      <c r="F236" t="s">
        <v>27</v>
      </c>
      <c r="G236">
        <v>1</v>
      </c>
      <c r="H236">
        <v>15000</v>
      </c>
      <c r="I236">
        <v>10000</v>
      </c>
      <c r="J236">
        <v>5000</v>
      </c>
      <c r="K236">
        <f>IFERROR(Table1[[#This Row],[Quantity]]*Table1[[#This Row],[Transactional Unit Price]],"NA")</f>
        <v>10000</v>
      </c>
      <c r="L236">
        <f>IFERROR(Table1[[#This Row],[Standard Unit Price]]*Table1[[#This Row],[Quantity]],"NA")</f>
        <v>15000</v>
      </c>
      <c r="M236" t="s">
        <v>369</v>
      </c>
      <c r="N23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36" t="s">
        <v>37</v>
      </c>
      <c r="T236">
        <f>VLOOKUP(Table3[[#This Row],[Product Name]],Table4[#All],2,FALSE)</f>
        <v>15000</v>
      </c>
      <c r="U236">
        <f>IFERROR(Table3[[#This Row],[Standard Price ]]-Table1[[#This Row],[Price Difference]],"NA")</f>
        <v>10000</v>
      </c>
    </row>
    <row r="237" spans="1:21" x14ac:dyDescent="0.25">
      <c r="A237" t="s">
        <v>318</v>
      </c>
      <c r="B237" s="1">
        <v>45622</v>
      </c>
      <c r="C237" t="s">
        <v>59</v>
      </c>
      <c r="D237" t="s">
        <v>26</v>
      </c>
      <c r="E237" t="s">
        <v>19</v>
      </c>
      <c r="F237" t="s">
        <v>27</v>
      </c>
      <c r="G237">
        <v>5</v>
      </c>
      <c r="H237">
        <v>12000</v>
      </c>
      <c r="I237" t="s">
        <v>337</v>
      </c>
      <c r="J237" t="s">
        <v>337</v>
      </c>
      <c r="K237" t="str">
        <f>IFERROR(Table1[[#This Row],[Quantity]]*Table1[[#This Row],[Transactional Unit Price]],"NA")</f>
        <v>NA</v>
      </c>
      <c r="L237">
        <f>IFERROR(Table1[[#This Row],[Standard Unit Price]]*Table1[[#This Row],[Quantity]],"NA")</f>
        <v>60000</v>
      </c>
      <c r="M237" t="s">
        <v>13</v>
      </c>
      <c r="N23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37" t="s">
        <v>26</v>
      </c>
      <c r="T237">
        <f>VLOOKUP(Table3[[#This Row],[Product Name]],Table4[#All],2,FALSE)</f>
        <v>12000</v>
      </c>
      <c r="U237" t="str">
        <f>IFERROR(Table3[[#This Row],[Standard Price ]]-Table1[[#This Row],[Price Difference]],"NA")</f>
        <v>NA</v>
      </c>
    </row>
    <row r="238" spans="1:21" x14ac:dyDescent="0.25">
      <c r="A238" t="s">
        <v>319</v>
      </c>
      <c r="B238" s="1">
        <v>45528</v>
      </c>
      <c r="C238" t="s">
        <v>167</v>
      </c>
      <c r="D238" t="s">
        <v>46</v>
      </c>
      <c r="E238" t="s">
        <v>49</v>
      </c>
      <c r="F238" t="s">
        <v>12</v>
      </c>
      <c r="G238">
        <v>1</v>
      </c>
      <c r="H238">
        <v>13000</v>
      </c>
      <c r="I238">
        <v>12000</v>
      </c>
      <c r="J238">
        <v>1000</v>
      </c>
      <c r="K238">
        <f>IFERROR(Table1[[#This Row],[Quantity]]*Table1[[#This Row],[Transactional Unit Price]],"NA")</f>
        <v>12000</v>
      </c>
      <c r="L238">
        <f>IFERROR(Table1[[#This Row],[Standard Unit Price]]*Table1[[#This Row],[Quantity]],"NA")</f>
        <v>13000</v>
      </c>
      <c r="M238" t="s">
        <v>13</v>
      </c>
      <c r="N23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38" t="s">
        <v>46</v>
      </c>
      <c r="T238">
        <f>VLOOKUP(Table3[[#This Row],[Product Name]],Table4[#All],2,FALSE)</f>
        <v>13000</v>
      </c>
      <c r="U238">
        <f>IFERROR(Table3[[#This Row],[Standard Price ]]-Table1[[#This Row],[Price Difference]],"NA")</f>
        <v>12000</v>
      </c>
    </row>
    <row r="239" spans="1:21" x14ac:dyDescent="0.25">
      <c r="A239" t="s">
        <v>320</v>
      </c>
      <c r="B239" s="1">
        <v>45388</v>
      </c>
      <c r="C239" t="s">
        <v>23</v>
      </c>
      <c r="D239" t="s">
        <v>26</v>
      </c>
      <c r="E239" t="s">
        <v>49</v>
      </c>
      <c r="F239" t="s">
        <v>42</v>
      </c>
      <c r="G239">
        <v>5</v>
      </c>
      <c r="H239">
        <v>12000</v>
      </c>
      <c r="I239">
        <v>9200</v>
      </c>
      <c r="J239">
        <v>2800</v>
      </c>
      <c r="K239">
        <f>IFERROR(Table1[[#This Row],[Quantity]]*Table1[[#This Row],[Transactional Unit Price]],"NA")</f>
        <v>46000</v>
      </c>
      <c r="L239">
        <f>IFERROR(Table1[[#This Row],[Standard Unit Price]]*Table1[[#This Row],[Quantity]],"NA")</f>
        <v>60000</v>
      </c>
      <c r="M239" t="s">
        <v>21</v>
      </c>
      <c r="N23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39" t="s">
        <v>26</v>
      </c>
      <c r="T239">
        <f>VLOOKUP(Table3[[#This Row],[Product Name]],Table4[#All],2,FALSE)</f>
        <v>12000</v>
      </c>
      <c r="U239">
        <f>IFERROR(Table3[[#This Row],[Standard Price ]]-Table1[[#This Row],[Price Difference]],"NA")</f>
        <v>9200</v>
      </c>
    </row>
    <row r="240" spans="1:21" x14ac:dyDescent="0.25">
      <c r="A240" t="s">
        <v>321</v>
      </c>
      <c r="B240" s="1">
        <v>45344</v>
      </c>
      <c r="C240" t="s">
        <v>167</v>
      </c>
      <c r="D240" t="s">
        <v>26</v>
      </c>
      <c r="E240" t="s">
        <v>19</v>
      </c>
      <c r="F240" t="s">
        <v>31</v>
      </c>
      <c r="G240" t="s">
        <v>337</v>
      </c>
      <c r="H240">
        <v>12000</v>
      </c>
      <c r="I240">
        <v>8500</v>
      </c>
      <c r="J240">
        <v>3500</v>
      </c>
      <c r="K240" t="str">
        <f>IFERROR(Table1[[#This Row],[Quantity]]*Table1[[#This Row],[Transactional Unit Price]],"NA")</f>
        <v>NA</v>
      </c>
      <c r="L240" t="str">
        <f>IFERROR(Table1[[#This Row],[Standard Unit Price]]*Table1[[#This Row],[Quantity]],"NA")</f>
        <v>NA</v>
      </c>
      <c r="M240" t="s">
        <v>13</v>
      </c>
      <c r="N24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40" t="s">
        <v>26</v>
      </c>
      <c r="T240">
        <f>VLOOKUP(Table3[[#This Row],[Product Name]],Table4[#All],2,FALSE)</f>
        <v>12000</v>
      </c>
      <c r="U240">
        <f>IFERROR(Table3[[#This Row],[Standard Price ]]-Table1[[#This Row],[Price Difference]],"NA")</f>
        <v>8500</v>
      </c>
    </row>
    <row r="241" spans="1:21" x14ac:dyDescent="0.25">
      <c r="A241" t="s">
        <v>322</v>
      </c>
      <c r="B241" s="1">
        <v>45380</v>
      </c>
      <c r="C241" t="s">
        <v>323</v>
      </c>
      <c r="D241" t="s">
        <v>10</v>
      </c>
      <c r="E241" t="s">
        <v>19</v>
      </c>
      <c r="F241" t="s">
        <v>12</v>
      </c>
      <c r="G241">
        <v>4</v>
      </c>
      <c r="H241">
        <v>10000</v>
      </c>
      <c r="I241">
        <v>12000</v>
      </c>
      <c r="J241">
        <v>-2000</v>
      </c>
      <c r="K241">
        <f>IFERROR(Table1[[#This Row],[Quantity]]*Table1[[#This Row],[Transactional Unit Price]],"NA")</f>
        <v>48000</v>
      </c>
      <c r="L241">
        <f>IFERROR(Table1[[#This Row],[Standard Unit Price]]*Table1[[#This Row],[Quantity]],"NA")</f>
        <v>40000</v>
      </c>
      <c r="M241" t="s">
        <v>13</v>
      </c>
      <c r="N24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241" t="s">
        <v>10</v>
      </c>
      <c r="T241">
        <f>VLOOKUP(Table3[[#This Row],[Product Name]],Table4[#All],2,FALSE)</f>
        <v>10000</v>
      </c>
      <c r="U241">
        <f>IFERROR(Table3[[#This Row],[Standard Price ]]-Table1[[#This Row],[Price Difference]],"NA")</f>
        <v>12000</v>
      </c>
    </row>
    <row r="242" spans="1:21" x14ac:dyDescent="0.25">
      <c r="A242" t="s">
        <v>324</v>
      </c>
      <c r="B242" s="1">
        <v>45604</v>
      </c>
      <c r="C242" t="s">
        <v>152</v>
      </c>
      <c r="D242" t="s">
        <v>30</v>
      </c>
      <c r="E242" t="s">
        <v>34</v>
      </c>
      <c r="F242" t="s">
        <v>31</v>
      </c>
      <c r="G242">
        <v>3</v>
      </c>
      <c r="H242">
        <v>9200</v>
      </c>
      <c r="I242">
        <v>12000</v>
      </c>
      <c r="J242">
        <v>-2800</v>
      </c>
      <c r="K242">
        <f>IFERROR(Table1[[#This Row],[Quantity]]*Table1[[#This Row],[Transactional Unit Price]],"NA")</f>
        <v>36000</v>
      </c>
      <c r="L242">
        <f>IFERROR(Table1[[#This Row],[Standard Unit Price]]*Table1[[#This Row],[Quantity]],"NA")</f>
        <v>27600</v>
      </c>
      <c r="M242" t="s">
        <v>21</v>
      </c>
      <c r="N242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Overpriced</v>
      </c>
      <c r="S242" t="s">
        <v>30</v>
      </c>
      <c r="T242">
        <f>VLOOKUP(Table3[[#This Row],[Product Name]],Table4[#All],2,FALSE)</f>
        <v>9200</v>
      </c>
      <c r="U242">
        <f>IFERROR(Table3[[#This Row],[Standard Price ]]-Table1[[#This Row],[Price Difference]],"NA")</f>
        <v>12000</v>
      </c>
    </row>
    <row r="243" spans="1:21" x14ac:dyDescent="0.25">
      <c r="A243" t="s">
        <v>325</v>
      </c>
      <c r="B243" s="1">
        <v>45465</v>
      </c>
      <c r="C243" t="s">
        <v>326</v>
      </c>
      <c r="D243" t="s">
        <v>10</v>
      </c>
      <c r="E243" t="s">
        <v>49</v>
      </c>
      <c r="F243" t="s">
        <v>27</v>
      </c>
      <c r="G243" t="s">
        <v>337</v>
      </c>
      <c r="H243">
        <v>10000</v>
      </c>
      <c r="I243">
        <v>10000</v>
      </c>
      <c r="J243">
        <v>0</v>
      </c>
      <c r="K243" t="str">
        <f>IFERROR(Table1[[#This Row],[Quantity]]*Table1[[#This Row],[Transactional Unit Price]],"NA")</f>
        <v>NA</v>
      </c>
      <c r="L243" t="str">
        <f>IFERROR(Table1[[#This Row],[Standard Unit Price]]*Table1[[#This Row],[Quantity]],"NA")</f>
        <v>NA</v>
      </c>
      <c r="M243" t="s">
        <v>21</v>
      </c>
      <c r="N243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Correct</v>
      </c>
      <c r="S243" t="s">
        <v>10</v>
      </c>
      <c r="T243">
        <f>VLOOKUP(Table3[[#This Row],[Product Name]],Table4[#All],2,FALSE)</f>
        <v>10000</v>
      </c>
      <c r="U243">
        <f>IFERROR(Table3[[#This Row],[Standard Price ]]-Table1[[#This Row],[Price Difference]],"NA")</f>
        <v>10000</v>
      </c>
    </row>
    <row r="244" spans="1:21" x14ac:dyDescent="0.25">
      <c r="A244" t="s">
        <v>327</v>
      </c>
      <c r="B244" s="1">
        <v>45340</v>
      </c>
      <c r="C244" t="s">
        <v>87</v>
      </c>
      <c r="D244" t="s">
        <v>46</v>
      </c>
      <c r="E244" t="s">
        <v>11</v>
      </c>
      <c r="F244" t="s">
        <v>42</v>
      </c>
      <c r="G244">
        <v>3</v>
      </c>
      <c r="H244">
        <v>13000</v>
      </c>
      <c r="I244">
        <v>10000</v>
      </c>
      <c r="J244">
        <v>3000</v>
      </c>
      <c r="K244">
        <f>IFERROR(Table1[[#This Row],[Quantity]]*Table1[[#This Row],[Transactional Unit Price]],"NA")</f>
        <v>30000</v>
      </c>
      <c r="L244">
        <f>IFERROR(Table1[[#This Row],[Standard Unit Price]]*Table1[[#This Row],[Quantity]],"NA")</f>
        <v>39000</v>
      </c>
      <c r="M244" t="s">
        <v>13</v>
      </c>
      <c r="N244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44" t="s">
        <v>46</v>
      </c>
      <c r="T244">
        <f>VLOOKUP(Table3[[#This Row],[Product Name]],Table4[#All],2,FALSE)</f>
        <v>13000</v>
      </c>
      <c r="U244">
        <f>IFERROR(Table3[[#This Row],[Standard Price ]]-Table1[[#This Row],[Price Difference]],"NA")</f>
        <v>10000</v>
      </c>
    </row>
    <row r="245" spans="1:21" x14ac:dyDescent="0.25">
      <c r="A245" t="s">
        <v>328</v>
      </c>
      <c r="B245" s="1">
        <v>45368</v>
      </c>
      <c r="C245" t="s">
        <v>329</v>
      </c>
      <c r="D245" t="s">
        <v>26</v>
      </c>
      <c r="E245" t="s">
        <v>11</v>
      </c>
      <c r="F245" t="s">
        <v>16</v>
      </c>
      <c r="G245" t="s">
        <v>337</v>
      </c>
      <c r="H245">
        <v>12000</v>
      </c>
      <c r="I245">
        <v>9200</v>
      </c>
      <c r="J245">
        <v>2800</v>
      </c>
      <c r="K245" t="str">
        <f>IFERROR(Table1[[#This Row],[Quantity]]*Table1[[#This Row],[Transactional Unit Price]],"NA")</f>
        <v>NA</v>
      </c>
      <c r="L245" t="str">
        <f>IFERROR(Table1[[#This Row],[Standard Unit Price]]*Table1[[#This Row],[Quantity]],"NA")</f>
        <v>NA</v>
      </c>
      <c r="M245" t="s">
        <v>369</v>
      </c>
      <c r="N245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45" t="s">
        <v>26</v>
      </c>
      <c r="T245">
        <f>VLOOKUP(Table3[[#This Row],[Product Name]],Table4[#All],2,FALSE)</f>
        <v>12000</v>
      </c>
      <c r="U245">
        <f>IFERROR(Table3[[#This Row],[Standard Price ]]-Table1[[#This Row],[Price Difference]],"NA")</f>
        <v>9200</v>
      </c>
    </row>
    <row r="246" spans="1:21" x14ac:dyDescent="0.25">
      <c r="A246" t="s">
        <v>330</v>
      </c>
      <c r="B246" s="1">
        <v>45627</v>
      </c>
      <c r="C246" t="s">
        <v>329</v>
      </c>
      <c r="D246" t="s">
        <v>10</v>
      </c>
      <c r="E246" t="s">
        <v>11</v>
      </c>
      <c r="F246" t="s">
        <v>42</v>
      </c>
      <c r="G246">
        <v>2</v>
      </c>
      <c r="H246">
        <v>10000</v>
      </c>
      <c r="I246" t="s">
        <v>337</v>
      </c>
      <c r="J246" t="s">
        <v>337</v>
      </c>
      <c r="K246" t="str">
        <f>IFERROR(Table1[[#This Row],[Quantity]]*Table1[[#This Row],[Transactional Unit Price]],"NA")</f>
        <v>NA</v>
      </c>
      <c r="L246">
        <f>IFERROR(Table1[[#This Row],[Standard Unit Price]]*Table1[[#This Row],[Quantity]],"NA")</f>
        <v>20000</v>
      </c>
      <c r="M246" t="s">
        <v>21</v>
      </c>
      <c r="N246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46" t="s">
        <v>10</v>
      </c>
      <c r="T246">
        <f>VLOOKUP(Table3[[#This Row],[Product Name]],Table4[#All],2,FALSE)</f>
        <v>10000</v>
      </c>
      <c r="U246" t="str">
        <f>IFERROR(Table3[[#This Row],[Standard Price ]]-Table1[[#This Row],[Price Difference]],"NA")</f>
        <v>NA</v>
      </c>
    </row>
    <row r="247" spans="1:21" x14ac:dyDescent="0.25">
      <c r="A247" t="s">
        <v>331</v>
      </c>
      <c r="B247" s="1">
        <v>45578</v>
      </c>
      <c r="C247" t="s">
        <v>167</v>
      </c>
      <c r="D247" t="s">
        <v>37</v>
      </c>
      <c r="E247" t="s">
        <v>11</v>
      </c>
      <c r="F247" t="s">
        <v>31</v>
      </c>
      <c r="G247">
        <v>2</v>
      </c>
      <c r="H247">
        <v>15000</v>
      </c>
      <c r="I247" t="s">
        <v>337</v>
      </c>
      <c r="J247" t="s">
        <v>337</v>
      </c>
      <c r="K247" t="str">
        <f>IFERROR(Table1[[#This Row],[Quantity]]*Table1[[#This Row],[Transactional Unit Price]],"NA")</f>
        <v>NA</v>
      </c>
      <c r="L247">
        <f>IFERROR(Table1[[#This Row],[Standard Unit Price]]*Table1[[#This Row],[Quantity]],"NA")</f>
        <v>30000</v>
      </c>
      <c r="M247" t="s">
        <v>21</v>
      </c>
      <c r="N247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47" t="s">
        <v>37</v>
      </c>
      <c r="T247">
        <f>VLOOKUP(Table3[[#This Row],[Product Name]],Table4[#All],2,FALSE)</f>
        <v>15000</v>
      </c>
      <c r="U247" t="str">
        <f>IFERROR(Table3[[#This Row],[Standard Price ]]-Table1[[#This Row],[Price Difference]],"NA")</f>
        <v>NA</v>
      </c>
    </row>
    <row r="248" spans="1:21" x14ac:dyDescent="0.25">
      <c r="A248" t="s">
        <v>332</v>
      </c>
      <c r="B248" s="1">
        <v>45635</v>
      </c>
      <c r="C248" t="s">
        <v>129</v>
      </c>
      <c r="D248" t="s">
        <v>37</v>
      </c>
      <c r="E248" t="s">
        <v>49</v>
      </c>
      <c r="F248" t="s">
        <v>31</v>
      </c>
      <c r="G248">
        <v>1</v>
      </c>
      <c r="H248">
        <v>15000</v>
      </c>
      <c r="I248">
        <v>10000</v>
      </c>
      <c r="J248">
        <v>5000</v>
      </c>
      <c r="K248">
        <f>IFERROR(Table1[[#This Row],[Quantity]]*Table1[[#This Row],[Transactional Unit Price]],"NA")</f>
        <v>10000</v>
      </c>
      <c r="L248">
        <f>IFERROR(Table1[[#This Row],[Standard Unit Price]]*Table1[[#This Row],[Quantity]],"NA")</f>
        <v>15000</v>
      </c>
      <c r="M248" t="s">
        <v>369</v>
      </c>
      <c r="N248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48" t="s">
        <v>37</v>
      </c>
      <c r="T248">
        <f>VLOOKUP(Table3[[#This Row],[Product Name]],Table4[#All],2,FALSE)</f>
        <v>15000</v>
      </c>
      <c r="U248">
        <f>IFERROR(Table3[[#This Row],[Standard Price ]]-Table1[[#This Row],[Price Difference]],"NA")</f>
        <v>10000</v>
      </c>
    </row>
    <row r="249" spans="1:21" x14ac:dyDescent="0.25">
      <c r="A249" t="s">
        <v>333</v>
      </c>
      <c r="B249" s="1">
        <v>45401</v>
      </c>
      <c r="C249" t="s">
        <v>123</v>
      </c>
      <c r="D249" t="s">
        <v>26</v>
      </c>
      <c r="E249" t="s">
        <v>19</v>
      </c>
      <c r="F249" t="s">
        <v>42</v>
      </c>
      <c r="G249">
        <v>2</v>
      </c>
      <c r="H249">
        <v>12000</v>
      </c>
      <c r="I249">
        <v>9200</v>
      </c>
      <c r="J249">
        <v>2800</v>
      </c>
      <c r="K249">
        <f>IFERROR(Table1[[#This Row],[Quantity]]*Table1[[#This Row],[Transactional Unit Price]],"NA")</f>
        <v>18400</v>
      </c>
      <c r="L249">
        <f>IFERROR(Table1[[#This Row],[Standard Unit Price]]*Table1[[#This Row],[Quantity]],"NA")</f>
        <v>24000</v>
      </c>
      <c r="M249" t="s">
        <v>13</v>
      </c>
      <c r="N249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Underpriced</v>
      </c>
      <c r="S249" t="s">
        <v>26</v>
      </c>
      <c r="T249">
        <f>VLOOKUP(Table3[[#This Row],[Product Name]],Table4[#All],2,FALSE)</f>
        <v>12000</v>
      </c>
      <c r="U249">
        <f>IFERROR(Table3[[#This Row],[Standard Price ]]-Table1[[#This Row],[Price Difference]],"NA")</f>
        <v>9200</v>
      </c>
    </row>
    <row r="250" spans="1:21" x14ac:dyDescent="0.25">
      <c r="A250" t="s">
        <v>334</v>
      </c>
      <c r="B250" s="1">
        <v>45331</v>
      </c>
      <c r="C250" t="s">
        <v>15</v>
      </c>
      <c r="D250" t="s">
        <v>26</v>
      </c>
      <c r="E250" t="s">
        <v>19</v>
      </c>
      <c r="F250" t="s">
        <v>27</v>
      </c>
      <c r="G250">
        <v>5</v>
      </c>
      <c r="H250">
        <v>12000</v>
      </c>
      <c r="I250" t="s">
        <v>337</v>
      </c>
      <c r="J250" t="s">
        <v>337</v>
      </c>
      <c r="K250" t="str">
        <f>IFERROR(Table1[[#This Row],[Quantity]]*Table1[[#This Row],[Transactional Unit Price]],"NA")</f>
        <v>NA</v>
      </c>
      <c r="L250">
        <f>IFERROR(Table1[[#This Row],[Standard Unit Price]]*Table1[[#This Row],[Quantity]],"NA")</f>
        <v>60000</v>
      </c>
      <c r="M250" t="s">
        <v>13</v>
      </c>
      <c r="N250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50" t="s">
        <v>26</v>
      </c>
      <c r="T250">
        <f>VLOOKUP(Table3[[#This Row],[Product Name]],Table4[#All],2,FALSE)</f>
        <v>12000</v>
      </c>
      <c r="U250" t="str">
        <f>IFERROR(Table3[[#This Row],[Standard Price ]]-Table1[[#This Row],[Price Difference]],"NA")</f>
        <v>NA</v>
      </c>
    </row>
    <row r="251" spans="1:21" x14ac:dyDescent="0.25">
      <c r="A251" t="s">
        <v>335</v>
      </c>
      <c r="B251" s="1">
        <v>45630</v>
      </c>
      <c r="C251" t="s">
        <v>123</v>
      </c>
      <c r="D251" t="s">
        <v>26</v>
      </c>
      <c r="E251" t="s">
        <v>19</v>
      </c>
      <c r="F251" t="s">
        <v>16</v>
      </c>
      <c r="G251">
        <v>2</v>
      </c>
      <c r="H251">
        <v>12000</v>
      </c>
      <c r="I251" t="s">
        <v>337</v>
      </c>
      <c r="J251" t="s">
        <v>337</v>
      </c>
      <c r="K251" t="str">
        <f>IFERROR(Table1[[#This Row],[Quantity]]*Table1[[#This Row],[Transactional Unit Price]],"NA")</f>
        <v>NA</v>
      </c>
      <c r="L251">
        <f>IFERROR(Table1[[#This Row],[Standard Unit Price]]*Table1[[#This Row],[Quantity]],"NA")</f>
        <v>24000</v>
      </c>
      <c r="M251" t="s">
        <v>21</v>
      </c>
      <c r="N251" t="str">
        <f>IF(Table1[[#This Row],[Transactional Unit Price]]= "NA","Missing",IF(Table1[[#This Row],[Transactional Unit Price]]&lt;Table1[[#This Row],[Standard Unit Price]],"Underpriced",IF(Table1[[#This Row],[Transactional Unit Price]]&gt;Table1[[#This Row],[Standard Unit Price]],"Overpriced","Correct")))</f>
        <v>Missing</v>
      </c>
      <c r="S251" t="s">
        <v>26</v>
      </c>
      <c r="T251">
        <f>VLOOKUP(Table3[[#This Row],[Product Name]],Table4[#All],2,FALSE)</f>
        <v>12000</v>
      </c>
      <c r="U251" t="str">
        <f>IFERROR(Table3[[#This Row],[Standard Price ]]-Table1[[#This Row],[Price Difference]],"NA")</f>
        <v>NA</v>
      </c>
    </row>
  </sheetData>
  <phoneticPr fontId="18" type="noConversion"/>
  <conditionalFormatting sqref="N2:N251">
    <cfRule type="containsText" dxfId="18" priority="6" operator="containsText" text="Underpriced">
      <formula>NOT(ISERROR(SEARCH("Underpriced",N2)))</formula>
    </cfRule>
    <cfRule type="containsText" dxfId="17" priority="7" operator="containsText" text="Missing">
      <formula>NOT(ISERROR(SEARCH("Missing",N2)))</formula>
    </cfRule>
  </conditionalFormatting>
  <conditionalFormatting sqref="N1:N1048576">
    <cfRule type="containsText" dxfId="16" priority="5" operator="containsText" text="Correct">
      <formula>NOT(ISERROR(SEARCH("Correct",N1)))</formula>
    </cfRule>
    <cfRule type="containsText" dxfId="15" priority="1" operator="containsText" text="Overpriced">
      <formula>NOT(ISERROR(SEARCH("Overpriced",N1)))</formula>
    </cfRule>
  </conditionalFormatting>
  <conditionalFormatting sqref="Q2">
    <cfRule type="containsText" dxfId="14" priority="4" operator="containsText" text="yellow">
      <formula>NOT(ISERROR(SEARCH("yellow",Q2)))</formula>
    </cfRule>
  </conditionalFormatting>
  <conditionalFormatting sqref="Q3">
    <cfRule type="containsText" dxfId="13" priority="2" operator="containsText" text="Red">
      <formula>NOT(ISERROR(SEARCH("Red",Q3)))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A8D6-8B95-4ADE-811E-243316456CD1}">
  <dimension ref="B2:C7"/>
  <sheetViews>
    <sheetView workbookViewId="0">
      <selection activeCell="R1" sqref="R1"/>
    </sheetView>
  </sheetViews>
  <sheetFormatPr defaultRowHeight="15" x14ac:dyDescent="0.25"/>
  <cols>
    <col min="2" max="2" width="16.28515625" customWidth="1"/>
    <col min="3" max="3" width="12.42578125" customWidth="1"/>
  </cols>
  <sheetData>
    <row r="2" spans="2:3" x14ac:dyDescent="0.25">
      <c r="B2" t="s">
        <v>336</v>
      </c>
      <c r="C2" t="s">
        <v>339</v>
      </c>
    </row>
    <row r="3" spans="2:3" x14ac:dyDescent="0.25">
      <c r="B3" t="s">
        <v>10</v>
      </c>
      <c r="C3">
        <v>10000</v>
      </c>
    </row>
    <row r="4" spans="2:3" x14ac:dyDescent="0.25">
      <c r="B4" t="s">
        <v>30</v>
      </c>
      <c r="C4">
        <v>9200</v>
      </c>
    </row>
    <row r="5" spans="2:3" x14ac:dyDescent="0.25">
      <c r="B5" t="s">
        <v>26</v>
      </c>
      <c r="C5">
        <v>12000</v>
      </c>
    </row>
    <row r="6" spans="2:3" x14ac:dyDescent="0.25">
      <c r="B6" t="s">
        <v>37</v>
      </c>
      <c r="C6">
        <v>15000</v>
      </c>
    </row>
    <row r="7" spans="2:3" x14ac:dyDescent="0.25">
      <c r="B7" t="s">
        <v>46</v>
      </c>
      <c r="C7">
        <v>13000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8289-9E18-4D55-8575-197237F95321}">
  <dimension ref="A3:T25"/>
  <sheetViews>
    <sheetView showGridLines="0" topLeftCell="M1" workbookViewId="0">
      <selection activeCell="R1" sqref="R1"/>
    </sheetView>
  </sheetViews>
  <sheetFormatPr defaultRowHeight="15" x14ac:dyDescent="0.25"/>
  <cols>
    <col min="1" max="1" width="16" bestFit="1" customWidth="1"/>
    <col min="2" max="2" width="15.5703125" bestFit="1" customWidth="1"/>
    <col min="3" max="3" width="24.42578125" bestFit="1" customWidth="1"/>
    <col min="4" max="4" width="13.28515625" bestFit="1" customWidth="1"/>
    <col min="5" max="5" width="15.5703125" bestFit="1" customWidth="1"/>
    <col min="6" max="6" width="24.42578125" bestFit="1" customWidth="1"/>
    <col min="7" max="7" width="15.42578125" bestFit="1" customWidth="1"/>
    <col min="8" max="8" width="15.5703125" bestFit="1" customWidth="1"/>
    <col min="9" max="9" width="24.42578125" bestFit="1" customWidth="1"/>
    <col min="10" max="10" width="17.7109375" bestFit="1" customWidth="1"/>
    <col min="11" max="11" width="23.7109375" bestFit="1" customWidth="1"/>
    <col min="12" max="12" width="15.5703125" bestFit="1" customWidth="1"/>
    <col min="13" max="13" width="24.42578125" bestFit="1" customWidth="1"/>
    <col min="14" max="14" width="12.7109375" bestFit="1" customWidth="1"/>
    <col min="15" max="15" width="16.28515625" bestFit="1" customWidth="1"/>
    <col min="16" max="16" width="13.5703125" bestFit="1" customWidth="1"/>
    <col min="17" max="17" width="12.5703125" bestFit="1" customWidth="1"/>
    <col min="18" max="18" width="13.5703125" bestFit="1" customWidth="1"/>
    <col min="19" max="19" width="9.42578125" bestFit="1" customWidth="1"/>
    <col min="20" max="20" width="11.28515625" bestFit="1" customWidth="1"/>
    <col min="21" max="21" width="13.5703125" bestFit="1" customWidth="1"/>
    <col min="22" max="22" width="12.5703125" bestFit="1" customWidth="1"/>
    <col min="23" max="23" width="13.5703125" bestFit="1" customWidth="1"/>
    <col min="24" max="24" width="9.42578125" bestFit="1" customWidth="1"/>
    <col min="25" max="25" width="20.5703125" bestFit="1" customWidth="1"/>
    <col min="26" max="26" width="22" bestFit="1" customWidth="1"/>
  </cols>
  <sheetData>
    <row r="3" spans="1:20" x14ac:dyDescent="0.25">
      <c r="A3" s="4" t="s">
        <v>336</v>
      </c>
      <c r="B3" t="s">
        <v>346</v>
      </c>
      <c r="D3" s="4" t="s">
        <v>4</v>
      </c>
      <c r="E3" t="s">
        <v>346</v>
      </c>
      <c r="J3" s="4" t="s">
        <v>347</v>
      </c>
      <c r="K3" t="s">
        <v>352</v>
      </c>
      <c r="N3" s="4" t="s">
        <v>370</v>
      </c>
      <c r="O3" s="4" t="s">
        <v>368</v>
      </c>
    </row>
    <row r="4" spans="1:20" x14ac:dyDescent="0.25">
      <c r="A4" s="5" t="s">
        <v>26</v>
      </c>
      <c r="B4" s="6">
        <v>1528900</v>
      </c>
      <c r="D4" s="5" t="s">
        <v>11</v>
      </c>
      <c r="E4" s="6">
        <v>1503100</v>
      </c>
      <c r="J4" s="5" t="s">
        <v>348</v>
      </c>
      <c r="K4" s="2">
        <v>35</v>
      </c>
      <c r="N4" s="4" t="s">
        <v>4</v>
      </c>
      <c r="O4" t="s">
        <v>30</v>
      </c>
      <c r="P4" t="s">
        <v>10</v>
      </c>
      <c r="Q4" t="s">
        <v>46</v>
      </c>
      <c r="R4" t="s">
        <v>26</v>
      </c>
      <c r="S4" t="s">
        <v>37</v>
      </c>
      <c r="T4" t="s">
        <v>345</v>
      </c>
    </row>
    <row r="5" spans="1:20" x14ac:dyDescent="0.25">
      <c r="A5" s="5" t="s">
        <v>10</v>
      </c>
      <c r="B5" s="6">
        <v>1293100</v>
      </c>
      <c r="D5" s="5" t="s">
        <v>19</v>
      </c>
      <c r="E5" s="6">
        <v>1271000</v>
      </c>
      <c r="J5" s="5" t="s">
        <v>349</v>
      </c>
      <c r="K5" s="2">
        <v>51</v>
      </c>
      <c r="N5" s="5" t="s">
        <v>19</v>
      </c>
      <c r="O5" s="6">
        <v>12</v>
      </c>
      <c r="P5" s="6">
        <v>12</v>
      </c>
      <c r="Q5" s="6">
        <v>7</v>
      </c>
      <c r="R5" s="6">
        <v>28</v>
      </c>
      <c r="S5" s="6">
        <v>6</v>
      </c>
      <c r="T5" s="6">
        <v>65</v>
      </c>
    </row>
    <row r="6" spans="1:20" x14ac:dyDescent="0.25">
      <c r="A6" s="5" t="s">
        <v>46</v>
      </c>
      <c r="B6" s="6">
        <v>735800</v>
      </c>
      <c r="D6" s="5" t="s">
        <v>57</v>
      </c>
      <c r="E6" s="6">
        <v>940200</v>
      </c>
      <c r="J6" s="5" t="s">
        <v>350</v>
      </c>
      <c r="K6" s="2">
        <v>31</v>
      </c>
      <c r="N6" s="5" t="s">
        <v>11</v>
      </c>
      <c r="O6" s="6">
        <v>7</v>
      </c>
      <c r="P6" s="6">
        <v>18</v>
      </c>
      <c r="Q6" s="6">
        <v>17</v>
      </c>
      <c r="R6" s="6">
        <v>22</v>
      </c>
      <c r="S6" s="6">
        <v>16</v>
      </c>
      <c r="T6" s="6">
        <v>80</v>
      </c>
    </row>
    <row r="7" spans="1:20" x14ac:dyDescent="0.25">
      <c r="A7" s="5" t="s">
        <v>37</v>
      </c>
      <c r="B7" s="6">
        <v>706300</v>
      </c>
      <c r="D7" s="5" t="s">
        <v>34</v>
      </c>
      <c r="E7" s="6">
        <v>694600</v>
      </c>
      <c r="J7" s="5" t="s">
        <v>351</v>
      </c>
      <c r="K7" s="2">
        <v>133</v>
      </c>
      <c r="N7" s="5" t="s">
        <v>57</v>
      </c>
      <c r="O7" s="6">
        <v>7</v>
      </c>
      <c r="P7" s="6">
        <v>11</v>
      </c>
      <c r="Q7" s="6">
        <v>3</v>
      </c>
      <c r="R7" s="6">
        <v>11</v>
      </c>
      <c r="S7" s="6">
        <v>6</v>
      </c>
      <c r="T7" s="6">
        <v>38</v>
      </c>
    </row>
    <row r="8" spans="1:20" x14ac:dyDescent="0.25">
      <c r="A8" s="5" t="s">
        <v>30</v>
      </c>
      <c r="B8" s="6">
        <v>694500</v>
      </c>
      <c r="D8" s="5" t="s">
        <v>49</v>
      </c>
      <c r="E8" s="6">
        <v>549700</v>
      </c>
      <c r="J8" s="5" t="s">
        <v>345</v>
      </c>
      <c r="K8" s="2">
        <v>250</v>
      </c>
      <c r="N8" s="5" t="s">
        <v>34</v>
      </c>
      <c r="O8" s="6">
        <v>5</v>
      </c>
      <c r="P8" s="6">
        <v>11</v>
      </c>
      <c r="Q8" s="6">
        <v>7</v>
      </c>
      <c r="R8" s="6">
        <v>10</v>
      </c>
      <c r="S8" s="6"/>
      <c r="T8" s="6">
        <v>33</v>
      </c>
    </row>
    <row r="9" spans="1:20" x14ac:dyDescent="0.25">
      <c r="A9" s="5" t="s">
        <v>345</v>
      </c>
      <c r="B9" s="6">
        <v>4958600</v>
      </c>
      <c r="D9" s="5" t="s">
        <v>345</v>
      </c>
      <c r="E9" s="6">
        <v>4958600</v>
      </c>
      <c r="G9" s="4" t="s">
        <v>347</v>
      </c>
      <c r="H9" t="s">
        <v>351</v>
      </c>
      <c r="N9" s="5" t="s">
        <v>49</v>
      </c>
      <c r="O9" s="6">
        <v>3</v>
      </c>
      <c r="P9" s="6">
        <v>9</v>
      </c>
      <c r="Q9" s="6">
        <v>3</v>
      </c>
      <c r="R9" s="6">
        <v>12</v>
      </c>
      <c r="S9" s="6">
        <v>7</v>
      </c>
      <c r="T9" s="6">
        <v>34</v>
      </c>
    </row>
    <row r="10" spans="1:20" x14ac:dyDescent="0.25">
      <c r="G10" s="4" t="s">
        <v>3</v>
      </c>
      <c r="H10" t="s">
        <v>30</v>
      </c>
      <c r="N10" s="5" t="s">
        <v>345</v>
      </c>
      <c r="O10" s="6">
        <v>34</v>
      </c>
      <c r="P10" s="6">
        <v>61</v>
      </c>
      <c r="Q10" s="6">
        <v>37</v>
      </c>
      <c r="R10" s="6">
        <v>83</v>
      </c>
      <c r="S10" s="6">
        <v>35</v>
      </c>
      <c r="T10" s="6">
        <v>250</v>
      </c>
    </row>
    <row r="12" spans="1:20" x14ac:dyDescent="0.25">
      <c r="A12" s="4" t="s">
        <v>336</v>
      </c>
      <c r="B12" t="s">
        <v>346</v>
      </c>
      <c r="C12" t="s">
        <v>354</v>
      </c>
      <c r="D12" s="8" t="s">
        <v>371</v>
      </c>
      <c r="E12" s="9"/>
      <c r="G12" s="4" t="s">
        <v>367</v>
      </c>
      <c r="H12" t="s">
        <v>346</v>
      </c>
      <c r="I12" t="s">
        <v>354</v>
      </c>
      <c r="K12" s="4" t="s">
        <v>1</v>
      </c>
      <c r="L12" t="s">
        <v>346</v>
      </c>
    </row>
    <row r="13" spans="1:20" x14ac:dyDescent="0.25">
      <c r="A13" s="5" t="s">
        <v>26</v>
      </c>
      <c r="B13" s="6">
        <v>1528900</v>
      </c>
      <c r="C13" s="6">
        <v>2568000</v>
      </c>
      <c r="D13" s="6">
        <f>C13-B13</f>
        <v>1039100</v>
      </c>
      <c r="E13" t="str">
        <f>IF(B13&lt;C13,"Loss",IF(B13&gt;C13,"Profit",IF(B13=C13,"Even Steven")))</f>
        <v>Loss</v>
      </c>
      <c r="G13" s="5" t="s">
        <v>20</v>
      </c>
      <c r="H13" s="6">
        <v>42500</v>
      </c>
      <c r="I13" s="6">
        <v>46000</v>
      </c>
      <c r="K13" s="5" t="s">
        <v>355</v>
      </c>
      <c r="L13" s="6">
        <v>414200</v>
      </c>
    </row>
    <row r="14" spans="1:20" x14ac:dyDescent="0.25">
      <c r="A14" s="5" t="s">
        <v>10</v>
      </c>
      <c r="B14" s="6">
        <v>1293100</v>
      </c>
      <c r="C14" s="6">
        <v>1560000</v>
      </c>
      <c r="D14" s="6">
        <f t="shared" ref="D14:D18" si="0">C14-B14</f>
        <v>266900</v>
      </c>
      <c r="E14" t="str">
        <f t="shared" ref="E14:E18" si="1">IF(B14&lt;C14,"Loss",IF(B14&gt;C14,"Profit",IF(B14=C14,"Even Steven")))</f>
        <v>Loss</v>
      </c>
      <c r="G14" s="5" t="s">
        <v>31</v>
      </c>
      <c r="H14" s="6">
        <v>42500</v>
      </c>
      <c r="I14" s="6">
        <v>46000</v>
      </c>
      <c r="K14" s="5" t="s">
        <v>356</v>
      </c>
      <c r="L14" s="6">
        <v>308700</v>
      </c>
    </row>
    <row r="15" spans="1:20" x14ac:dyDescent="0.25">
      <c r="A15" s="5" t="s">
        <v>46</v>
      </c>
      <c r="B15" s="6">
        <v>735800</v>
      </c>
      <c r="C15" s="6">
        <v>1209000</v>
      </c>
      <c r="D15" s="6">
        <f t="shared" si="0"/>
        <v>473200</v>
      </c>
      <c r="E15" t="str">
        <f t="shared" si="1"/>
        <v>Loss</v>
      </c>
      <c r="G15" s="5" t="s">
        <v>27</v>
      </c>
      <c r="H15" s="6">
        <v>34000</v>
      </c>
      <c r="I15" s="6">
        <v>36800</v>
      </c>
      <c r="K15" s="5" t="s">
        <v>357</v>
      </c>
      <c r="L15" s="6">
        <v>377700</v>
      </c>
    </row>
    <row r="16" spans="1:20" x14ac:dyDescent="0.25">
      <c r="A16" s="5" t="s">
        <v>37</v>
      </c>
      <c r="B16" s="6">
        <v>706300</v>
      </c>
      <c r="C16" s="6">
        <v>1275000</v>
      </c>
      <c r="D16" s="6">
        <f t="shared" si="0"/>
        <v>568700</v>
      </c>
      <c r="E16" t="str">
        <f t="shared" si="1"/>
        <v>Loss</v>
      </c>
      <c r="G16" s="5" t="s">
        <v>42</v>
      </c>
      <c r="H16" s="6">
        <v>17000</v>
      </c>
      <c r="I16" s="6">
        <v>18400</v>
      </c>
      <c r="K16" s="5" t="s">
        <v>358</v>
      </c>
      <c r="L16" s="6">
        <v>376800</v>
      </c>
    </row>
    <row r="17" spans="1:12" x14ac:dyDescent="0.25">
      <c r="A17" s="5" t="s">
        <v>30</v>
      </c>
      <c r="B17" s="6">
        <v>694500</v>
      </c>
      <c r="C17" s="6">
        <v>754400</v>
      </c>
      <c r="D17" s="6">
        <f t="shared" si="0"/>
        <v>59900</v>
      </c>
      <c r="E17" t="str">
        <f t="shared" si="1"/>
        <v>Loss</v>
      </c>
      <c r="G17" s="5" t="s">
        <v>16</v>
      </c>
      <c r="H17" s="6">
        <v>8500</v>
      </c>
      <c r="I17" s="6">
        <v>9200</v>
      </c>
      <c r="K17" s="5" t="s">
        <v>359</v>
      </c>
      <c r="L17" s="6">
        <v>686900</v>
      </c>
    </row>
    <row r="18" spans="1:12" x14ac:dyDescent="0.25">
      <c r="A18" s="5" t="s">
        <v>345</v>
      </c>
      <c r="B18" s="6">
        <v>4958600</v>
      </c>
      <c r="C18" s="6">
        <v>7366400</v>
      </c>
      <c r="D18" s="6">
        <f t="shared" si="0"/>
        <v>2407800</v>
      </c>
      <c r="E18" t="str">
        <f t="shared" si="1"/>
        <v>Loss</v>
      </c>
      <c r="G18" s="5" t="s">
        <v>345</v>
      </c>
      <c r="H18" s="6">
        <v>144500</v>
      </c>
      <c r="I18" s="6">
        <v>156400</v>
      </c>
      <c r="K18" s="5" t="s">
        <v>360</v>
      </c>
      <c r="L18" s="6">
        <v>320900</v>
      </c>
    </row>
    <row r="19" spans="1:12" x14ac:dyDescent="0.25">
      <c r="K19" s="5" t="s">
        <v>361</v>
      </c>
      <c r="L19" s="6">
        <v>262500</v>
      </c>
    </row>
    <row r="20" spans="1:12" x14ac:dyDescent="0.25">
      <c r="K20" s="5" t="s">
        <v>362</v>
      </c>
      <c r="L20" s="6">
        <v>486800</v>
      </c>
    </row>
    <row r="21" spans="1:12" x14ac:dyDescent="0.25">
      <c r="K21" s="5" t="s">
        <v>363</v>
      </c>
      <c r="L21" s="6">
        <v>426500</v>
      </c>
    </row>
    <row r="22" spans="1:12" x14ac:dyDescent="0.25">
      <c r="K22" s="5" t="s">
        <v>364</v>
      </c>
      <c r="L22" s="6">
        <v>597000</v>
      </c>
    </row>
    <row r="23" spans="1:12" x14ac:dyDescent="0.25">
      <c r="K23" s="5" t="s">
        <v>365</v>
      </c>
      <c r="L23" s="6">
        <v>364900</v>
      </c>
    </row>
    <row r="24" spans="1:12" x14ac:dyDescent="0.25">
      <c r="K24" s="5" t="s">
        <v>366</v>
      </c>
      <c r="L24" s="6">
        <v>335700</v>
      </c>
    </row>
    <row r="25" spans="1:12" x14ac:dyDescent="0.25">
      <c r="K25" s="5" t="s">
        <v>345</v>
      </c>
      <c r="L25" s="6">
        <v>4958600</v>
      </c>
    </row>
  </sheetData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0B86-BE2A-4BED-ACED-D8A554569F6F}">
  <dimension ref="A1"/>
  <sheetViews>
    <sheetView showGridLines="0" showRowColHeaders="0" topLeftCell="A4" workbookViewId="0">
      <selection activeCell="J25" sqref="J25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Sales_transactions</vt:lpstr>
      <vt:lpstr>Product Category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Akinyemi Feyisara</dc:creator>
  <cp:lastModifiedBy>Akinyemi Feyisara</cp:lastModifiedBy>
  <cp:lastPrinted>2026-03-30T16:34:59Z</cp:lastPrinted>
  <dcterms:created xsi:type="dcterms:W3CDTF">2026-03-11T13:58:54Z</dcterms:created>
  <dcterms:modified xsi:type="dcterms:W3CDTF">2026-03-31T11:23:18Z</dcterms:modified>
</cp:coreProperties>
</file>